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gezhang/AntigravityLocal/CareerShowcaseGithub/HEOR-Technical-Portfolio/01_Oncology_PartSM_Audit/"/>
    </mc:Choice>
  </mc:AlternateContent>
  <xr:revisionPtr revIDLastSave="0" documentId="13_ncr:1_{BE6A96F3-283A-6D47-B103-EDA38DE309D8}" xr6:coauthVersionLast="47" xr6:coauthVersionMax="47" xr10:uidLastSave="{00000000-0000-0000-0000-000000000000}"/>
  <bookViews>
    <workbookView xWindow="-50400" yWindow="-5760" windowWidth="48120" windowHeight="23460" activeTab="1" xr2:uid="{B83519E7-2156-4647-A949-F04BCC080E0B}"/>
  </bookViews>
  <sheets>
    <sheet name="Dashboard_Summary" sheetId="6" r:id="rId1"/>
    <sheet name="PSA_Dashboard" sheetId="8" r:id="rId2"/>
    <sheet name="inputs" sheetId="1" r:id="rId3"/>
    <sheet name="RRMM_Model_Inputs" sheetId="7" r:id="rId4"/>
    <sheet name="soc_engine" sheetId="4" r:id="rId5"/>
    <sheet name="trt_engine" sheetId="5" r:id="rId6"/>
    <sheet name="DATA_ONS" sheetId="3" r:id="rId7"/>
  </sheets>
  <definedNames>
    <definedName name="adj_HR">trt_engine!#REF!</definedName>
    <definedName name="adj_OS_Prob" localSheetId="5">trt_engine!$N$4:$N$363</definedName>
    <definedName name="adj_OS_Prob">soc_engine!$N$4:$N$363</definedName>
    <definedName name="Age">soc_engine!$B$4:$B$363</definedName>
    <definedName name="asdfasdf">inputs!$M$11</definedName>
    <definedName name="base_HR">inputs!#REF!</definedName>
    <definedName name="crrct_dth_risk" localSheetId="5">trt_engine!$M$4:$M$363</definedName>
    <definedName name="crrct_dth_risk">soc_engine!$M$4:$M$363</definedName>
    <definedName name="Cycle">soc_engine!$A$4:$A$363</definedName>
    <definedName name="cycle_length">inputs!$B$2</definedName>
    <definedName name="delta_C">Dashboard_Summary!$B$3</definedName>
    <definedName name="delta_E">Dashboard_Summary!$B$2</definedName>
    <definedName name="disc_rate_clum" localSheetId="5">trt_engine!$C$2:$C$363</definedName>
    <definedName name="disc_rate_clum">soc_engine!$C$4:$C$363</definedName>
    <definedName name="Disc_rate_per_cyc">inputs!$B$5</definedName>
    <definedName name="Discount_rate">inputs!$B$4</definedName>
    <definedName name="ExternalData_1" localSheetId="3" hidden="1">'RRMM_Model_Inputs'!$A$1:$E$362</definedName>
    <definedName name="hcc_qal_per_cyc" localSheetId="5">trt_engine!$W$4:$W$363</definedName>
    <definedName name="hcc_qal_per_cyc">soc_engine!$W$4:$W$363</definedName>
    <definedName name="hr_os_mu">inputs!$G$12</definedName>
    <definedName name="hr_os_sigma">inputs!$H$12</definedName>
    <definedName name="hr_os_VtUs">inputs!$M$12</definedName>
    <definedName name="hr_pfs_mu">inputs!$G$11</definedName>
    <definedName name="hr_pfs_sigma">inputs!$H$11</definedName>
    <definedName name="hr_pfs_VtUs">inputs!$M$11</definedName>
    <definedName name="ICER">Dashboard_Summary!$B$4</definedName>
    <definedName name="Impl_dth_rsk" localSheetId="5">trt_engine!$K$4:$K$363</definedName>
    <definedName name="Impl_dth_rsk">soc_engine!$K$4:$K$363</definedName>
    <definedName name="Mntr_Adm_cst">inputs!$B$15</definedName>
    <definedName name="Mntr_Adm_cst_mu">inputs!$G$10</definedName>
    <definedName name="Mntr_Adm_cst_sigma">inputs!$H$10</definedName>
    <definedName name="Mntr_Adm_cst_VtUs">inputs!$M$10</definedName>
    <definedName name="ons_dth_risk" localSheetId="5">trt_engine!$L$4:$L$363</definedName>
    <definedName name="ons_dth_risk">soc_engine!$L$4:$L$363</definedName>
    <definedName name="pd_chm_price">inputs!$B$12</definedName>
    <definedName name="pd_chm_share">inputs!$D$19</definedName>
    <definedName name="pd_mAb_price">inputs!$B$11</definedName>
    <definedName name="pd_mAb_share">inputs!$D$18</definedName>
    <definedName name="pd_ulty_mu">inputs!$G$8</definedName>
    <definedName name="pd_ulty_sigma">inputs!$H$8</definedName>
    <definedName name="pd_ulty_VtUs">inputs!$M$8</definedName>
    <definedName name="pfs_ulty_mu">inputs!$G$7</definedName>
    <definedName name="pfs_ulty_sigma">inputs!$H$7</definedName>
    <definedName name="pfs_ulty_VtUs">inputs!$M$7</definedName>
    <definedName name="psa_hrscl_pfs_VtUs">inputs!$M$11</definedName>
    <definedName name="PSA_Soc_OSHR_scaler">inputs!$G$14</definedName>
    <definedName name="PSA_Soc_PFSHR_scaler">inputs!$G$12</definedName>
    <definedName name="psa_soc_pfshr_sclr">inputs!$M$12</definedName>
    <definedName name="PSA_SocHRsclr_os_VtUs">inputs!$M$14</definedName>
    <definedName name="PSA_SocHRsclr_pfs_VtUs">inputs!$M$12</definedName>
    <definedName name="PSA_Switch">inputs!$J$1</definedName>
    <definedName name="PSA_trt_OSHR_scaler">inputs!$G$13</definedName>
    <definedName name="PSA_trt_PFSHR_scaler">inputs!$G$11</definedName>
    <definedName name="psa_trt_pfshr_sclr">inputs!$M$11</definedName>
    <definedName name="PSA_trtHRsclr_os_VtUs">inputs!$M$13</definedName>
    <definedName name="PSA_trtHRsclr_pfs_VtUs">inputs!$M$11</definedName>
    <definedName name="soc_COST">soc_engine!$Z$4</definedName>
    <definedName name="soc_dth">soc_engine!$Q$4:$Q$363</definedName>
    <definedName name="soc_OS_Prob">soc_engine!$H$4:$H$363</definedName>
    <definedName name="soc_OS_State">#REF!</definedName>
    <definedName name="soc_OS_weibull_scale">inputs!#REF!</definedName>
    <definedName name="soc_OS_weibull_shape">inputs!#REF!</definedName>
    <definedName name="soc_pd_cst">soc_engine!$T$4:$T$363</definedName>
    <definedName name="soc_pd_stt">soc_engine!$P$4:$P$363</definedName>
    <definedName name="soc_pfs_cst">soc_engine!$S$4:$S$363</definedName>
    <definedName name="soc_PFS_Prob">soc_engine!$D$4:$D$363</definedName>
    <definedName name="soc_PFS_Prob_psa_adj">soc_engine!$G$3:$G$363</definedName>
    <definedName name="soc_PFS_State">#REF!</definedName>
    <definedName name="soc_pfs_stt">soc_engine!$O$4:$O$363</definedName>
    <definedName name="soc_PFS_weibull_scale">inputs!#REF!</definedName>
    <definedName name="soc_PFS_weibull_shape">inputs!#REF!</definedName>
    <definedName name="soc_price">inputs!$B$9</definedName>
    <definedName name="soc_prog_risk">soc_engine!$E$4:$E$363</definedName>
    <definedName name="soc_QALY">soc_engine!$AB$3</definedName>
    <definedName name="soc_stt_PD">soc_engine!#REF!</definedName>
    <definedName name="soc_stt_PFS">soc_engine!$O:$O</definedName>
    <definedName name="soc_ttl_cst">soc_engine!$U$4:$U$363</definedName>
    <definedName name="soc_utl">soc_engine!$V$4:$V$363</definedName>
    <definedName name="start_age">inputs!$B$3</definedName>
    <definedName name="state_dth">soc_engine!$Q:$Q</definedName>
    <definedName name="state_PFS">#REF!</definedName>
    <definedName name="Subsq_PD_cst_mu">inputs!$G$9</definedName>
    <definedName name="Subsq_PD_cst_sigma">inputs!$H$9</definedName>
    <definedName name="Subsq_PD_cst_VtUs">inputs!$M$9</definedName>
    <definedName name="sum_check">trt_engine!$R$3:$R$363</definedName>
    <definedName name="time_horizion">inputs!$B$1</definedName>
    <definedName name="trt_cap_month">inputs!$B$8</definedName>
    <definedName name="trt_COST">trt_engine!$Z$3</definedName>
    <definedName name="trt_dth">trt_engine!$Q$4:$Q$363</definedName>
    <definedName name="trt_lst_price">inputs!$B$6</definedName>
    <definedName name="trt_OS_Prob">trt_engine!$H$4:$H$363</definedName>
    <definedName name="trt_OS_Prob_psa_adj">trt_engine!$J$3:$J$363</definedName>
    <definedName name="trt_OS_weibull_scale">inputs!#REF!</definedName>
    <definedName name="trt_OS_weibull_shape">inputs!#REF!</definedName>
    <definedName name="trt_pas_disc">inputs!$B$7</definedName>
    <definedName name="trt_pd_cst">trt_engine!$T$4:$T$363</definedName>
    <definedName name="trt_pd_stt">trt_engine!$P$4:$P$363</definedName>
    <definedName name="trt_pfs_cst">trt_engine!$S$3:$S$363</definedName>
    <definedName name="trt_PFS_Prob">trt_engine!$D$4:$D$363</definedName>
    <definedName name="trt_PFS_Prob_psa_adj">trt_engine!$F$3:$F$363</definedName>
    <definedName name="trt_pfs_stt">trt_engine!$O$4:$O$363</definedName>
    <definedName name="trt_PFS_weibull_scale">inputs!#REF!</definedName>
    <definedName name="trt_PFS_weibull_shape">inputs!#REF!</definedName>
    <definedName name="trt_prog_risk">trt_engine!$G$4:$G$363</definedName>
    <definedName name="trt_QALY">trt_engine!$AB$2</definedName>
    <definedName name="trt_ttl_cst">trt_engine!$U$4:$U$363</definedName>
    <definedName name="trt_utl">trt_engine!$V$4:$V$363</definedName>
    <definedName name="Utlty_AE_Disutlt">inputs!$B$18</definedName>
    <definedName name="Utlty_PD">inputs!$B$17</definedName>
    <definedName name="Utlty_PFS">inputs!$B$16</definedName>
    <definedName name="waning_end">inputs!#REF!</definedName>
    <definedName name="waning_incrmt">inputs!#REF!</definedName>
    <definedName name="waning_incrmt_hrfps">inputs!#REF!</definedName>
    <definedName name="waning_incrmt_hros">inputs!#REF!</definedName>
    <definedName name="waning_strt">inputs!#REF!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6" l="1"/>
  <c r="B6" i="6"/>
  <c r="H3" i="5" a="1"/>
  <c r="H3" i="5" s="1"/>
  <c r="D3" i="5" a="1"/>
  <c r="G343" i="5" s="1"/>
  <c r="L14" i="1"/>
  <c r="M14" i="1" s="1"/>
  <c r="L13" i="1"/>
  <c r="M13" i="1" s="1"/>
  <c r="L12" i="1"/>
  <c r="M12" i="1" s="1"/>
  <c r="L11" i="1"/>
  <c r="M11" i="1" s="1"/>
  <c r="G10" i="1"/>
  <c r="K10" i="1" s="1"/>
  <c r="G9" i="1"/>
  <c r="K9" i="1" s="1"/>
  <c r="K8" i="1"/>
  <c r="J8" i="1"/>
  <c r="K7" i="1"/>
  <c r="J7" i="1"/>
  <c r="B8" i="6" l="1"/>
  <c r="J9" i="1"/>
  <c r="J10" i="1"/>
  <c r="G175" i="5"/>
  <c r="D3" i="5"/>
  <c r="G64" i="5"/>
  <c r="G72" i="5"/>
  <c r="G80" i="5"/>
  <c r="G88" i="5"/>
  <c r="G96" i="5"/>
  <c r="G104" i="5"/>
  <c r="G112" i="5"/>
  <c r="G120" i="5"/>
  <c r="G128" i="5"/>
  <c r="G136" i="5"/>
  <c r="G144" i="5"/>
  <c r="G152" i="5"/>
  <c r="G160" i="5"/>
  <c r="G168" i="5"/>
  <c r="G176" i="5"/>
  <c r="G184" i="5"/>
  <c r="G192" i="5"/>
  <c r="G200" i="5"/>
  <c r="G208" i="5"/>
  <c r="G216" i="5"/>
  <c r="G224" i="5"/>
  <c r="G232" i="5"/>
  <c r="G240" i="5"/>
  <c r="G248" i="5"/>
  <c r="G256" i="5"/>
  <c r="G264" i="5"/>
  <c r="G272" i="5"/>
  <c r="G280" i="5"/>
  <c r="G288" i="5"/>
  <c r="G296" i="5"/>
  <c r="G304" i="5"/>
  <c r="G312" i="5"/>
  <c r="G320" i="5"/>
  <c r="G328" i="5"/>
  <c r="G336" i="5"/>
  <c r="G344" i="5"/>
  <c r="G352" i="5"/>
  <c r="G360" i="5"/>
  <c r="G74" i="5"/>
  <c r="G75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305" i="5"/>
  <c r="G313" i="5"/>
  <c r="G321" i="5"/>
  <c r="G329" i="5"/>
  <c r="G337" i="5"/>
  <c r="G345" i="5"/>
  <c r="G353" i="5"/>
  <c r="G361" i="5"/>
  <c r="G66" i="5"/>
  <c r="G82" i="5"/>
  <c r="G90" i="5"/>
  <c r="G98" i="5"/>
  <c r="G106" i="5"/>
  <c r="G114" i="5"/>
  <c r="G122" i="5"/>
  <c r="G130" i="5"/>
  <c r="G138" i="5"/>
  <c r="G146" i="5"/>
  <c r="G154" i="5"/>
  <c r="G162" i="5"/>
  <c r="G170" i="5"/>
  <c r="G178" i="5"/>
  <c r="G186" i="5"/>
  <c r="G194" i="5"/>
  <c r="G202" i="5"/>
  <c r="G210" i="5"/>
  <c r="G218" i="5"/>
  <c r="G226" i="5"/>
  <c r="G234" i="5"/>
  <c r="G242" i="5"/>
  <c r="G250" i="5"/>
  <c r="G258" i="5"/>
  <c r="G266" i="5"/>
  <c r="G274" i="5"/>
  <c r="G282" i="5"/>
  <c r="G290" i="5"/>
  <c r="G298" i="5"/>
  <c r="G306" i="5"/>
  <c r="G314" i="5"/>
  <c r="G322" i="5"/>
  <c r="G330" i="5"/>
  <c r="G338" i="5"/>
  <c r="G346" i="5"/>
  <c r="G354" i="5"/>
  <c r="G362" i="5"/>
  <c r="G67" i="5"/>
  <c r="G83" i="5"/>
  <c r="G91" i="5"/>
  <c r="G99" i="5"/>
  <c r="G107" i="5"/>
  <c r="G115" i="5"/>
  <c r="G123" i="5"/>
  <c r="G131" i="5"/>
  <c r="G139" i="5"/>
  <c r="G147" i="5"/>
  <c r="G69" i="5"/>
  <c r="G77" i="5"/>
  <c r="G85" i="5"/>
  <c r="G93" i="5"/>
  <c r="G101" i="5"/>
  <c r="G109" i="5"/>
  <c r="G117" i="5"/>
  <c r="G125" i="5"/>
  <c r="G133" i="5"/>
  <c r="G141" i="5"/>
  <c r="G149" i="5"/>
  <c r="G157" i="5"/>
  <c r="G165" i="5"/>
  <c r="G173" i="5"/>
  <c r="G181" i="5"/>
  <c r="G189" i="5"/>
  <c r="G197" i="5"/>
  <c r="G205" i="5"/>
  <c r="G213" i="5"/>
  <c r="G221" i="5"/>
  <c r="G229" i="5"/>
  <c r="G237" i="5"/>
  <c r="G245" i="5"/>
  <c r="G253" i="5"/>
  <c r="G261" i="5"/>
  <c r="G269" i="5"/>
  <c r="G277" i="5"/>
  <c r="G285" i="5"/>
  <c r="G293" i="5"/>
  <c r="G301" i="5"/>
  <c r="G309" i="5"/>
  <c r="G317" i="5"/>
  <c r="G325" i="5"/>
  <c r="G333" i="5"/>
  <c r="G341" i="5"/>
  <c r="G349" i="5"/>
  <c r="G357" i="5"/>
  <c r="G70" i="5"/>
  <c r="G78" i="5"/>
  <c r="G86" i="5"/>
  <c r="G94" i="5"/>
  <c r="G102" i="5"/>
  <c r="G110" i="5"/>
  <c r="G118" i="5"/>
  <c r="G126" i="5"/>
  <c r="G134" i="5"/>
  <c r="G142" i="5"/>
  <c r="G150" i="5"/>
  <c r="G158" i="5"/>
  <c r="G166" i="5"/>
  <c r="G174" i="5"/>
  <c r="G182" i="5"/>
  <c r="G190" i="5"/>
  <c r="G198" i="5"/>
  <c r="G206" i="5"/>
  <c r="G214" i="5"/>
  <c r="G222" i="5"/>
  <c r="G230" i="5"/>
  <c r="G238" i="5"/>
  <c r="G246" i="5"/>
  <c r="G254" i="5"/>
  <c r="G262" i="5"/>
  <c r="G270" i="5"/>
  <c r="G278" i="5"/>
  <c r="G286" i="5"/>
  <c r="G294" i="5"/>
  <c r="G302" i="5"/>
  <c r="G310" i="5"/>
  <c r="G318" i="5"/>
  <c r="G326" i="5"/>
  <c r="G334" i="5"/>
  <c r="G342" i="5"/>
  <c r="G350" i="5"/>
  <c r="G358" i="5"/>
  <c r="G323" i="5"/>
  <c r="G300" i="5"/>
  <c r="G279" i="5"/>
  <c r="G259" i="5"/>
  <c r="G236" i="5"/>
  <c r="G215" i="5"/>
  <c r="G195" i="5"/>
  <c r="G172" i="5"/>
  <c r="G151" i="5"/>
  <c r="G119" i="5"/>
  <c r="G87" i="5"/>
  <c r="G363" i="5"/>
  <c r="G340" i="5"/>
  <c r="G319" i="5"/>
  <c r="G299" i="5"/>
  <c r="G276" i="5"/>
  <c r="G255" i="5"/>
  <c r="G235" i="5"/>
  <c r="G212" i="5"/>
  <c r="G191" i="5"/>
  <c r="G171" i="5"/>
  <c r="G148" i="5"/>
  <c r="G116" i="5"/>
  <c r="G84" i="5"/>
  <c r="G79" i="5"/>
  <c r="G76" i="5"/>
  <c r="G155" i="5"/>
  <c r="G167" i="5"/>
  <c r="G163" i="5"/>
  <c r="G71" i="5"/>
  <c r="G347" i="5"/>
  <c r="G303" i="5"/>
  <c r="G260" i="5"/>
  <c r="G219" i="5"/>
  <c r="G92" i="5"/>
  <c r="G359" i="5"/>
  <c r="G316" i="5"/>
  <c r="G275" i="5"/>
  <c r="G231" i="5"/>
  <c r="G211" i="5"/>
  <c r="G143" i="5"/>
  <c r="G315" i="5"/>
  <c r="G271" i="5"/>
  <c r="G228" i="5"/>
  <c r="G187" i="5"/>
  <c r="G140" i="5"/>
  <c r="G355" i="5"/>
  <c r="G311" i="5"/>
  <c r="G268" i="5"/>
  <c r="G227" i="5"/>
  <c r="G183" i="5"/>
  <c r="G103" i="5"/>
  <c r="G351" i="5"/>
  <c r="G331" i="5"/>
  <c r="G308" i="5"/>
  <c r="G287" i="5"/>
  <c r="G267" i="5"/>
  <c r="G244" i="5"/>
  <c r="G223" i="5"/>
  <c r="G203" i="5"/>
  <c r="G180" i="5"/>
  <c r="G159" i="5"/>
  <c r="G132" i="5"/>
  <c r="G100" i="5"/>
  <c r="G68" i="5"/>
  <c r="G324" i="5"/>
  <c r="G283" i="5"/>
  <c r="G239" i="5"/>
  <c r="G196" i="5"/>
  <c r="G124" i="5"/>
  <c r="G339" i="5"/>
  <c r="G295" i="5"/>
  <c r="G252" i="5"/>
  <c r="G188" i="5"/>
  <c r="G111" i="5"/>
  <c r="G356" i="5"/>
  <c r="G335" i="5"/>
  <c r="G292" i="5"/>
  <c r="G251" i="5"/>
  <c r="G207" i="5"/>
  <c r="G164" i="5"/>
  <c r="G108" i="5"/>
  <c r="G332" i="5"/>
  <c r="G291" i="5"/>
  <c r="G247" i="5"/>
  <c r="G204" i="5"/>
  <c r="G135" i="5"/>
  <c r="G348" i="5"/>
  <c r="G327" i="5"/>
  <c r="G307" i="5"/>
  <c r="G284" i="5"/>
  <c r="G263" i="5"/>
  <c r="G243" i="5"/>
  <c r="G220" i="5"/>
  <c r="G199" i="5"/>
  <c r="G179" i="5"/>
  <c r="G156" i="5"/>
  <c r="G127" i="5"/>
  <c r="G95" i="5"/>
  <c r="I354" i="5"/>
  <c r="J354" i="5" s="1"/>
  <c r="I263" i="5"/>
  <c r="J263" i="5" s="1"/>
  <c r="I147" i="5"/>
  <c r="J147" i="5" s="1"/>
  <c r="I33" i="5"/>
  <c r="J33" i="5" s="1"/>
  <c r="I344" i="5"/>
  <c r="J344" i="5" s="1"/>
  <c r="I247" i="5"/>
  <c r="J247" i="5" s="1"/>
  <c r="I135" i="5"/>
  <c r="J135" i="5" s="1"/>
  <c r="I19" i="5"/>
  <c r="J19" i="5" s="1"/>
  <c r="I334" i="5"/>
  <c r="J334" i="5" s="1"/>
  <c r="I233" i="5"/>
  <c r="J233" i="5" s="1"/>
  <c r="I119" i="5"/>
  <c r="J119" i="5" s="1"/>
  <c r="I7" i="5"/>
  <c r="J7" i="5" s="1"/>
  <c r="I5" i="5"/>
  <c r="J5" i="5" s="1"/>
  <c r="I13" i="5"/>
  <c r="J13" i="5" s="1"/>
  <c r="I21" i="5"/>
  <c r="J21" i="5" s="1"/>
  <c r="I29" i="5"/>
  <c r="J29" i="5" s="1"/>
  <c r="I37" i="5"/>
  <c r="J37" i="5" s="1"/>
  <c r="I45" i="5"/>
  <c r="J45" i="5" s="1"/>
  <c r="I53" i="5"/>
  <c r="J53" i="5" s="1"/>
  <c r="I61" i="5"/>
  <c r="J61" i="5" s="1"/>
  <c r="I69" i="5"/>
  <c r="J69" i="5" s="1"/>
  <c r="I77" i="5"/>
  <c r="J77" i="5" s="1"/>
  <c r="I85" i="5"/>
  <c r="J85" i="5" s="1"/>
  <c r="I93" i="5"/>
  <c r="J93" i="5" s="1"/>
  <c r="I101" i="5"/>
  <c r="J101" i="5" s="1"/>
  <c r="I109" i="5"/>
  <c r="J109" i="5" s="1"/>
  <c r="I117" i="5"/>
  <c r="J117" i="5" s="1"/>
  <c r="I125" i="5"/>
  <c r="J125" i="5" s="1"/>
  <c r="I133" i="5"/>
  <c r="J133" i="5" s="1"/>
  <c r="I141" i="5"/>
  <c r="J141" i="5" s="1"/>
  <c r="I149" i="5"/>
  <c r="J149" i="5" s="1"/>
  <c r="I157" i="5"/>
  <c r="J157" i="5" s="1"/>
  <c r="I165" i="5"/>
  <c r="J165" i="5" s="1"/>
  <c r="I173" i="5"/>
  <c r="J173" i="5" s="1"/>
  <c r="I181" i="5"/>
  <c r="J181" i="5" s="1"/>
  <c r="I189" i="5"/>
  <c r="J189" i="5" s="1"/>
  <c r="I197" i="5"/>
  <c r="J197" i="5" s="1"/>
  <c r="I205" i="5"/>
  <c r="J205" i="5" s="1"/>
  <c r="I213" i="5"/>
  <c r="J213" i="5" s="1"/>
  <c r="I221" i="5"/>
  <c r="J221" i="5" s="1"/>
  <c r="I229" i="5"/>
  <c r="J229" i="5" s="1"/>
  <c r="I237" i="5"/>
  <c r="J237" i="5" s="1"/>
  <c r="I245" i="5"/>
  <c r="J245" i="5" s="1"/>
  <c r="I253" i="5"/>
  <c r="J253" i="5" s="1"/>
  <c r="I261" i="5"/>
  <c r="J261" i="5" s="1"/>
  <c r="I269" i="5"/>
  <c r="J269" i="5" s="1"/>
  <c r="I277" i="5"/>
  <c r="J277" i="5" s="1"/>
  <c r="I285" i="5"/>
  <c r="J285" i="5" s="1"/>
  <c r="I293" i="5"/>
  <c r="J293" i="5" s="1"/>
  <c r="I301" i="5"/>
  <c r="J301" i="5" s="1"/>
  <c r="I309" i="5"/>
  <c r="J309" i="5" s="1"/>
  <c r="I317" i="5"/>
  <c r="J317" i="5" s="1"/>
  <c r="I6" i="5"/>
  <c r="J6" i="5" s="1"/>
  <c r="I14" i="5"/>
  <c r="J14" i="5" s="1"/>
  <c r="I22" i="5"/>
  <c r="J22" i="5" s="1"/>
  <c r="I30" i="5"/>
  <c r="J30" i="5" s="1"/>
  <c r="I38" i="5"/>
  <c r="J38" i="5" s="1"/>
  <c r="I46" i="5"/>
  <c r="J46" i="5" s="1"/>
  <c r="I54" i="5"/>
  <c r="J54" i="5" s="1"/>
  <c r="I62" i="5"/>
  <c r="J62" i="5" s="1"/>
  <c r="I70" i="5"/>
  <c r="J70" i="5" s="1"/>
  <c r="I78" i="5"/>
  <c r="J78" i="5" s="1"/>
  <c r="I86" i="5"/>
  <c r="J86" i="5" s="1"/>
  <c r="I94" i="5"/>
  <c r="J94" i="5" s="1"/>
  <c r="I102" i="5"/>
  <c r="J102" i="5" s="1"/>
  <c r="I110" i="5"/>
  <c r="J110" i="5" s="1"/>
  <c r="I118" i="5"/>
  <c r="J118" i="5" s="1"/>
  <c r="I126" i="5"/>
  <c r="J126" i="5" s="1"/>
  <c r="I134" i="5"/>
  <c r="J134" i="5" s="1"/>
  <c r="I142" i="5"/>
  <c r="J142" i="5" s="1"/>
  <c r="I150" i="5"/>
  <c r="J150" i="5" s="1"/>
  <c r="I158" i="5"/>
  <c r="J158" i="5" s="1"/>
  <c r="I166" i="5"/>
  <c r="J166" i="5" s="1"/>
  <c r="I174" i="5"/>
  <c r="J174" i="5" s="1"/>
  <c r="I182" i="5"/>
  <c r="J182" i="5" s="1"/>
  <c r="K182" i="5" s="1"/>
  <c r="I190" i="5"/>
  <c r="J190" i="5" s="1"/>
  <c r="I198" i="5"/>
  <c r="J198" i="5" s="1"/>
  <c r="I206" i="5"/>
  <c r="J206" i="5" s="1"/>
  <c r="I214" i="5"/>
  <c r="J214" i="5" s="1"/>
  <c r="I222" i="5"/>
  <c r="J222" i="5" s="1"/>
  <c r="I230" i="5"/>
  <c r="J230" i="5" s="1"/>
  <c r="I238" i="5"/>
  <c r="J238" i="5" s="1"/>
  <c r="I246" i="5"/>
  <c r="J246" i="5" s="1"/>
  <c r="K246" i="5" s="1"/>
  <c r="I254" i="5"/>
  <c r="J254" i="5" s="1"/>
  <c r="I262" i="5"/>
  <c r="J262" i="5" s="1"/>
  <c r="I15" i="5"/>
  <c r="J15" i="5" s="1"/>
  <c r="I25" i="5"/>
  <c r="J25" i="5" s="1"/>
  <c r="I35" i="5"/>
  <c r="J35" i="5" s="1"/>
  <c r="I47" i="5"/>
  <c r="J47" i="5" s="1"/>
  <c r="I57" i="5"/>
  <c r="J57" i="5" s="1"/>
  <c r="I67" i="5"/>
  <c r="J67" i="5" s="1"/>
  <c r="I79" i="5"/>
  <c r="J79" i="5" s="1"/>
  <c r="I89" i="5"/>
  <c r="J89" i="5" s="1"/>
  <c r="I99" i="5"/>
  <c r="J99" i="5" s="1"/>
  <c r="I111" i="5"/>
  <c r="J111" i="5" s="1"/>
  <c r="I121" i="5"/>
  <c r="J121" i="5" s="1"/>
  <c r="I131" i="5"/>
  <c r="J131" i="5" s="1"/>
  <c r="I143" i="5"/>
  <c r="J143" i="5" s="1"/>
  <c r="I153" i="5"/>
  <c r="J153" i="5" s="1"/>
  <c r="I163" i="5"/>
  <c r="J163" i="5" s="1"/>
  <c r="I175" i="5"/>
  <c r="J175" i="5" s="1"/>
  <c r="I185" i="5"/>
  <c r="J185" i="5" s="1"/>
  <c r="I195" i="5"/>
  <c r="J195" i="5" s="1"/>
  <c r="I207" i="5"/>
  <c r="J207" i="5" s="1"/>
  <c r="I217" i="5"/>
  <c r="J217" i="5" s="1"/>
  <c r="I227" i="5"/>
  <c r="J227" i="5" s="1"/>
  <c r="I239" i="5"/>
  <c r="J239" i="5" s="1"/>
  <c r="I249" i="5"/>
  <c r="J249" i="5" s="1"/>
  <c r="I259" i="5"/>
  <c r="J259" i="5" s="1"/>
  <c r="I270" i="5"/>
  <c r="J270" i="5" s="1"/>
  <c r="I279" i="5"/>
  <c r="J279" i="5" s="1"/>
  <c r="I288" i="5"/>
  <c r="J288" i="5" s="1"/>
  <c r="I297" i="5"/>
  <c r="J297" i="5" s="1"/>
  <c r="I306" i="5"/>
  <c r="J306" i="5" s="1"/>
  <c r="I315" i="5"/>
  <c r="J315" i="5" s="1"/>
  <c r="I324" i="5"/>
  <c r="J324" i="5" s="1"/>
  <c r="I332" i="5"/>
  <c r="J332" i="5" s="1"/>
  <c r="I340" i="5"/>
  <c r="J340" i="5" s="1"/>
  <c r="I348" i="5"/>
  <c r="J348" i="5" s="1"/>
  <c r="I356" i="5"/>
  <c r="J356" i="5" s="1"/>
  <c r="I16" i="5"/>
  <c r="J16" i="5" s="1"/>
  <c r="I26" i="5"/>
  <c r="J26" i="5" s="1"/>
  <c r="I36" i="5"/>
  <c r="J36" i="5" s="1"/>
  <c r="I48" i="5"/>
  <c r="J48" i="5" s="1"/>
  <c r="I58" i="5"/>
  <c r="J58" i="5" s="1"/>
  <c r="I68" i="5"/>
  <c r="J68" i="5" s="1"/>
  <c r="I80" i="5"/>
  <c r="J80" i="5" s="1"/>
  <c r="I90" i="5"/>
  <c r="J90" i="5" s="1"/>
  <c r="I100" i="5"/>
  <c r="J100" i="5" s="1"/>
  <c r="I112" i="5"/>
  <c r="J112" i="5" s="1"/>
  <c r="I122" i="5"/>
  <c r="J122" i="5" s="1"/>
  <c r="I132" i="5"/>
  <c r="J132" i="5" s="1"/>
  <c r="I144" i="5"/>
  <c r="J144" i="5" s="1"/>
  <c r="I154" i="5"/>
  <c r="J154" i="5" s="1"/>
  <c r="I164" i="5"/>
  <c r="J164" i="5" s="1"/>
  <c r="I176" i="5"/>
  <c r="J176" i="5" s="1"/>
  <c r="I186" i="5"/>
  <c r="J186" i="5" s="1"/>
  <c r="I196" i="5"/>
  <c r="J196" i="5" s="1"/>
  <c r="I208" i="5"/>
  <c r="J208" i="5" s="1"/>
  <c r="I218" i="5"/>
  <c r="J218" i="5" s="1"/>
  <c r="I228" i="5"/>
  <c r="J228" i="5" s="1"/>
  <c r="I240" i="5"/>
  <c r="J240" i="5" s="1"/>
  <c r="I250" i="5"/>
  <c r="J250" i="5" s="1"/>
  <c r="I260" i="5"/>
  <c r="J260" i="5" s="1"/>
  <c r="I271" i="5"/>
  <c r="J271" i="5" s="1"/>
  <c r="I280" i="5"/>
  <c r="J280" i="5" s="1"/>
  <c r="I289" i="5"/>
  <c r="J289" i="5" s="1"/>
  <c r="I298" i="5"/>
  <c r="J298" i="5" s="1"/>
  <c r="I307" i="5"/>
  <c r="J307" i="5" s="1"/>
  <c r="I316" i="5"/>
  <c r="J316" i="5" s="1"/>
  <c r="I325" i="5"/>
  <c r="J325" i="5" s="1"/>
  <c r="I333" i="5"/>
  <c r="J333" i="5" s="1"/>
  <c r="I341" i="5"/>
  <c r="J341" i="5" s="1"/>
  <c r="I349" i="5"/>
  <c r="J349" i="5" s="1"/>
  <c r="I357" i="5"/>
  <c r="J357" i="5" s="1"/>
  <c r="I8" i="5"/>
  <c r="J8" i="5" s="1"/>
  <c r="I20" i="5"/>
  <c r="J20" i="5" s="1"/>
  <c r="I34" i="5"/>
  <c r="J34" i="5" s="1"/>
  <c r="I50" i="5"/>
  <c r="J50" i="5" s="1"/>
  <c r="I64" i="5"/>
  <c r="J64" i="5" s="1"/>
  <c r="I76" i="5"/>
  <c r="J76" i="5" s="1"/>
  <c r="I92" i="5"/>
  <c r="J92" i="5" s="1"/>
  <c r="I106" i="5"/>
  <c r="J106" i="5" s="1"/>
  <c r="I120" i="5"/>
  <c r="J120" i="5" s="1"/>
  <c r="I136" i="5"/>
  <c r="J136" i="5" s="1"/>
  <c r="I148" i="5"/>
  <c r="J148" i="5" s="1"/>
  <c r="I162" i="5"/>
  <c r="J162" i="5" s="1"/>
  <c r="I178" i="5"/>
  <c r="J178" i="5" s="1"/>
  <c r="I192" i="5"/>
  <c r="J192" i="5" s="1"/>
  <c r="I204" i="5"/>
  <c r="J204" i="5" s="1"/>
  <c r="I220" i="5"/>
  <c r="J220" i="5" s="1"/>
  <c r="I234" i="5"/>
  <c r="J234" i="5" s="1"/>
  <c r="I248" i="5"/>
  <c r="J248" i="5" s="1"/>
  <c r="I264" i="5"/>
  <c r="J264" i="5" s="1"/>
  <c r="I275" i="5"/>
  <c r="J275" i="5" s="1"/>
  <c r="I287" i="5"/>
  <c r="J287" i="5" s="1"/>
  <c r="I300" i="5"/>
  <c r="J300" i="5" s="1"/>
  <c r="I312" i="5"/>
  <c r="J312" i="5" s="1"/>
  <c r="I323" i="5"/>
  <c r="J323" i="5" s="1"/>
  <c r="I335" i="5"/>
  <c r="J335" i="5" s="1"/>
  <c r="I345" i="5"/>
  <c r="J345" i="5" s="1"/>
  <c r="I355" i="5"/>
  <c r="J355" i="5" s="1"/>
  <c r="I9" i="5"/>
  <c r="J9" i="5" s="1"/>
  <c r="I23" i="5"/>
  <c r="J23" i="5" s="1"/>
  <c r="I39" i="5"/>
  <c r="J39" i="5" s="1"/>
  <c r="I51" i="5"/>
  <c r="J51" i="5" s="1"/>
  <c r="I65" i="5"/>
  <c r="J65" i="5" s="1"/>
  <c r="I81" i="5"/>
  <c r="J81" i="5" s="1"/>
  <c r="I95" i="5"/>
  <c r="J95" i="5" s="1"/>
  <c r="I107" i="5"/>
  <c r="J107" i="5" s="1"/>
  <c r="I123" i="5"/>
  <c r="J123" i="5" s="1"/>
  <c r="I137" i="5"/>
  <c r="J137" i="5" s="1"/>
  <c r="I151" i="5"/>
  <c r="J151" i="5" s="1"/>
  <c r="I167" i="5"/>
  <c r="J167" i="5" s="1"/>
  <c r="I179" i="5"/>
  <c r="J179" i="5" s="1"/>
  <c r="I193" i="5"/>
  <c r="J193" i="5" s="1"/>
  <c r="I209" i="5"/>
  <c r="J209" i="5" s="1"/>
  <c r="I223" i="5"/>
  <c r="J223" i="5" s="1"/>
  <c r="I235" i="5"/>
  <c r="J235" i="5" s="1"/>
  <c r="I251" i="5"/>
  <c r="J251" i="5" s="1"/>
  <c r="I265" i="5"/>
  <c r="J265" i="5" s="1"/>
  <c r="I276" i="5"/>
  <c r="J276" i="5" s="1"/>
  <c r="I290" i="5"/>
  <c r="J290" i="5" s="1"/>
  <c r="I302" i="5"/>
  <c r="J302" i="5" s="1"/>
  <c r="I313" i="5"/>
  <c r="J313" i="5" s="1"/>
  <c r="I326" i="5"/>
  <c r="J326" i="5" s="1"/>
  <c r="I336" i="5"/>
  <c r="J336" i="5" s="1"/>
  <c r="I346" i="5"/>
  <c r="J346" i="5" s="1"/>
  <c r="I358" i="5"/>
  <c r="J358" i="5" s="1"/>
  <c r="I10" i="5"/>
  <c r="J10" i="5" s="1"/>
  <c r="I24" i="5"/>
  <c r="J24" i="5" s="1"/>
  <c r="I40" i="5"/>
  <c r="J40" i="5" s="1"/>
  <c r="I52" i="5"/>
  <c r="J52" i="5" s="1"/>
  <c r="I66" i="5"/>
  <c r="J66" i="5" s="1"/>
  <c r="I82" i="5"/>
  <c r="J82" i="5" s="1"/>
  <c r="I96" i="5"/>
  <c r="J96" i="5" s="1"/>
  <c r="I108" i="5"/>
  <c r="J108" i="5" s="1"/>
  <c r="I124" i="5"/>
  <c r="J124" i="5" s="1"/>
  <c r="I138" i="5"/>
  <c r="J138" i="5" s="1"/>
  <c r="I152" i="5"/>
  <c r="J152" i="5" s="1"/>
  <c r="I168" i="5"/>
  <c r="J168" i="5" s="1"/>
  <c r="I180" i="5"/>
  <c r="J180" i="5" s="1"/>
  <c r="I194" i="5"/>
  <c r="J194" i="5" s="1"/>
  <c r="I210" i="5"/>
  <c r="J210" i="5" s="1"/>
  <c r="I224" i="5"/>
  <c r="J224" i="5" s="1"/>
  <c r="I236" i="5"/>
  <c r="J236" i="5" s="1"/>
  <c r="I252" i="5"/>
  <c r="J252" i="5" s="1"/>
  <c r="I266" i="5"/>
  <c r="J266" i="5" s="1"/>
  <c r="I278" i="5"/>
  <c r="J278" i="5" s="1"/>
  <c r="I291" i="5"/>
  <c r="J291" i="5" s="1"/>
  <c r="I303" i="5"/>
  <c r="J303" i="5" s="1"/>
  <c r="I314" i="5"/>
  <c r="J314" i="5" s="1"/>
  <c r="I327" i="5"/>
  <c r="J327" i="5" s="1"/>
  <c r="I337" i="5"/>
  <c r="J337" i="5" s="1"/>
  <c r="I347" i="5"/>
  <c r="J347" i="5" s="1"/>
  <c r="I359" i="5"/>
  <c r="J359" i="5" s="1"/>
  <c r="I11" i="5"/>
  <c r="J11" i="5" s="1"/>
  <c r="I27" i="5"/>
  <c r="J27" i="5" s="1"/>
  <c r="I41" i="5"/>
  <c r="J41" i="5" s="1"/>
  <c r="I55" i="5"/>
  <c r="J55" i="5" s="1"/>
  <c r="I71" i="5"/>
  <c r="J71" i="5" s="1"/>
  <c r="I83" i="5"/>
  <c r="J83" i="5" s="1"/>
  <c r="I97" i="5"/>
  <c r="J97" i="5" s="1"/>
  <c r="I113" i="5"/>
  <c r="J113" i="5" s="1"/>
  <c r="I127" i="5"/>
  <c r="J127" i="5" s="1"/>
  <c r="I139" i="5"/>
  <c r="J139" i="5" s="1"/>
  <c r="I155" i="5"/>
  <c r="J155" i="5" s="1"/>
  <c r="I169" i="5"/>
  <c r="J169" i="5" s="1"/>
  <c r="I183" i="5"/>
  <c r="J183" i="5" s="1"/>
  <c r="I199" i="5"/>
  <c r="J199" i="5" s="1"/>
  <c r="I211" i="5"/>
  <c r="J211" i="5" s="1"/>
  <c r="I225" i="5"/>
  <c r="J225" i="5" s="1"/>
  <c r="I241" i="5"/>
  <c r="J241" i="5" s="1"/>
  <c r="I255" i="5"/>
  <c r="J255" i="5" s="1"/>
  <c r="I267" i="5"/>
  <c r="J267" i="5" s="1"/>
  <c r="I281" i="5"/>
  <c r="J281" i="5" s="1"/>
  <c r="I292" i="5"/>
  <c r="J292" i="5" s="1"/>
  <c r="I304" i="5"/>
  <c r="J304" i="5" s="1"/>
  <c r="I318" i="5"/>
  <c r="J318" i="5" s="1"/>
  <c r="I328" i="5"/>
  <c r="J328" i="5" s="1"/>
  <c r="I338" i="5"/>
  <c r="J338" i="5" s="1"/>
  <c r="I350" i="5"/>
  <c r="J350" i="5" s="1"/>
  <c r="I360" i="5"/>
  <c r="J360" i="5" s="1"/>
  <c r="I12" i="5"/>
  <c r="J12" i="5" s="1"/>
  <c r="I28" i="5"/>
  <c r="J28" i="5" s="1"/>
  <c r="I42" i="5"/>
  <c r="J42" i="5" s="1"/>
  <c r="I56" i="5"/>
  <c r="J56" i="5" s="1"/>
  <c r="I72" i="5"/>
  <c r="J72" i="5" s="1"/>
  <c r="I84" i="5"/>
  <c r="J84" i="5" s="1"/>
  <c r="I98" i="5"/>
  <c r="J98" i="5" s="1"/>
  <c r="I114" i="5"/>
  <c r="J114" i="5" s="1"/>
  <c r="I128" i="5"/>
  <c r="J128" i="5" s="1"/>
  <c r="I140" i="5"/>
  <c r="J140" i="5" s="1"/>
  <c r="I156" i="5"/>
  <c r="J156" i="5" s="1"/>
  <c r="I170" i="5"/>
  <c r="J170" i="5" s="1"/>
  <c r="I184" i="5"/>
  <c r="J184" i="5" s="1"/>
  <c r="I200" i="5"/>
  <c r="J200" i="5" s="1"/>
  <c r="I212" i="5"/>
  <c r="J212" i="5" s="1"/>
  <c r="I226" i="5"/>
  <c r="J226" i="5" s="1"/>
  <c r="I242" i="5"/>
  <c r="J242" i="5" s="1"/>
  <c r="I256" i="5"/>
  <c r="J256" i="5" s="1"/>
  <c r="I268" i="5"/>
  <c r="J268" i="5" s="1"/>
  <c r="I282" i="5"/>
  <c r="J282" i="5" s="1"/>
  <c r="I294" i="5"/>
  <c r="J294" i="5" s="1"/>
  <c r="I305" i="5"/>
  <c r="J305" i="5" s="1"/>
  <c r="I319" i="5"/>
  <c r="J319" i="5" s="1"/>
  <c r="I329" i="5"/>
  <c r="J329" i="5" s="1"/>
  <c r="I339" i="5"/>
  <c r="J339" i="5" s="1"/>
  <c r="I351" i="5"/>
  <c r="J351" i="5" s="1"/>
  <c r="I361" i="5"/>
  <c r="J361" i="5" s="1"/>
  <c r="I17" i="5"/>
  <c r="J17" i="5" s="1"/>
  <c r="I31" i="5"/>
  <c r="J31" i="5" s="1"/>
  <c r="I43" i="5"/>
  <c r="J43" i="5" s="1"/>
  <c r="I59" i="5"/>
  <c r="J59" i="5" s="1"/>
  <c r="I73" i="5"/>
  <c r="J73" i="5" s="1"/>
  <c r="I87" i="5"/>
  <c r="J87" i="5" s="1"/>
  <c r="I103" i="5"/>
  <c r="J103" i="5" s="1"/>
  <c r="I115" i="5"/>
  <c r="J115" i="5" s="1"/>
  <c r="I129" i="5"/>
  <c r="J129" i="5" s="1"/>
  <c r="I145" i="5"/>
  <c r="J145" i="5" s="1"/>
  <c r="I159" i="5"/>
  <c r="J159" i="5" s="1"/>
  <c r="I171" i="5"/>
  <c r="J171" i="5" s="1"/>
  <c r="I187" i="5"/>
  <c r="J187" i="5" s="1"/>
  <c r="I201" i="5"/>
  <c r="J201" i="5" s="1"/>
  <c r="I215" i="5"/>
  <c r="J215" i="5" s="1"/>
  <c r="I231" i="5"/>
  <c r="J231" i="5" s="1"/>
  <c r="I243" i="5"/>
  <c r="J243" i="5" s="1"/>
  <c r="I257" i="5"/>
  <c r="J257" i="5" s="1"/>
  <c r="I272" i="5"/>
  <c r="J272" i="5" s="1"/>
  <c r="I283" i="5"/>
  <c r="J283" i="5" s="1"/>
  <c r="I295" i="5"/>
  <c r="J295" i="5" s="1"/>
  <c r="I308" i="5"/>
  <c r="J308" i="5" s="1"/>
  <c r="I320" i="5"/>
  <c r="J320" i="5" s="1"/>
  <c r="I330" i="5"/>
  <c r="J330" i="5" s="1"/>
  <c r="I342" i="5"/>
  <c r="J342" i="5" s="1"/>
  <c r="I352" i="5"/>
  <c r="J352" i="5" s="1"/>
  <c r="I362" i="5"/>
  <c r="J362" i="5" s="1"/>
  <c r="I18" i="5"/>
  <c r="J18" i="5" s="1"/>
  <c r="I32" i="5"/>
  <c r="J32" i="5" s="1"/>
  <c r="I44" i="5"/>
  <c r="J44" i="5" s="1"/>
  <c r="I60" i="5"/>
  <c r="J60" i="5" s="1"/>
  <c r="I74" i="5"/>
  <c r="J74" i="5" s="1"/>
  <c r="I88" i="5"/>
  <c r="J88" i="5" s="1"/>
  <c r="I104" i="5"/>
  <c r="J104" i="5" s="1"/>
  <c r="I116" i="5"/>
  <c r="J116" i="5" s="1"/>
  <c r="I130" i="5"/>
  <c r="J130" i="5" s="1"/>
  <c r="I146" i="5"/>
  <c r="J146" i="5" s="1"/>
  <c r="I160" i="5"/>
  <c r="J160" i="5" s="1"/>
  <c r="I172" i="5"/>
  <c r="J172" i="5" s="1"/>
  <c r="I188" i="5"/>
  <c r="J188" i="5" s="1"/>
  <c r="I202" i="5"/>
  <c r="J202" i="5" s="1"/>
  <c r="I216" i="5"/>
  <c r="J216" i="5" s="1"/>
  <c r="I232" i="5"/>
  <c r="J232" i="5" s="1"/>
  <c r="I244" i="5"/>
  <c r="J244" i="5" s="1"/>
  <c r="I258" i="5"/>
  <c r="J258" i="5" s="1"/>
  <c r="I273" i="5"/>
  <c r="J273" i="5" s="1"/>
  <c r="I284" i="5"/>
  <c r="J284" i="5" s="1"/>
  <c r="I296" i="5"/>
  <c r="J296" i="5" s="1"/>
  <c r="I310" i="5"/>
  <c r="J310" i="5" s="1"/>
  <c r="I321" i="5"/>
  <c r="J321" i="5" s="1"/>
  <c r="I331" i="5"/>
  <c r="J331" i="5" s="1"/>
  <c r="I343" i="5"/>
  <c r="J343" i="5" s="1"/>
  <c r="I353" i="5"/>
  <c r="J353" i="5" s="1"/>
  <c r="I363" i="5"/>
  <c r="J363" i="5" s="1"/>
  <c r="I311" i="5"/>
  <c r="J311" i="5" s="1"/>
  <c r="I203" i="5"/>
  <c r="J203" i="5" s="1"/>
  <c r="I299" i="5"/>
  <c r="J299" i="5" s="1"/>
  <c r="I191" i="5"/>
  <c r="J191" i="5" s="1"/>
  <c r="I75" i="5"/>
  <c r="J75" i="5" s="1"/>
  <c r="I286" i="5"/>
  <c r="J286" i="5" s="1"/>
  <c r="I177" i="5"/>
  <c r="J177" i="5" s="1"/>
  <c r="I63" i="5"/>
  <c r="J63" i="5" s="1"/>
  <c r="I322" i="5"/>
  <c r="J322" i="5" s="1"/>
  <c r="I219" i="5"/>
  <c r="J219" i="5" s="1"/>
  <c r="I105" i="5"/>
  <c r="J105" i="5" s="1"/>
  <c r="I91" i="5"/>
  <c r="J91" i="5" s="1"/>
  <c r="I274" i="5"/>
  <c r="J274" i="5" s="1"/>
  <c r="I161" i="5"/>
  <c r="J161" i="5" s="1"/>
  <c r="I49" i="5"/>
  <c r="J49" i="5" s="1"/>
  <c r="L9" i="1"/>
  <c r="M9" i="1" s="1"/>
  <c r="L7" i="1"/>
  <c r="M7" i="1" s="1"/>
  <c r="L8" i="1"/>
  <c r="M8" i="1" s="1"/>
  <c r="L10" i="1"/>
  <c r="M10" i="1" s="1"/>
  <c r="B17" i="6"/>
  <c r="H3" i="4" a="1"/>
  <c r="D3" i="4" a="1"/>
  <c r="F192" i="4" s="1"/>
  <c r="K118" i="5" l="1"/>
  <c r="K214" i="5"/>
  <c r="K326" i="5"/>
  <c r="K292" i="5"/>
  <c r="K276" i="5"/>
  <c r="K167" i="5"/>
  <c r="K314" i="5"/>
  <c r="K210" i="5"/>
  <c r="K354" i="5"/>
  <c r="K31" i="5"/>
  <c r="K151" i="5"/>
  <c r="K283" i="5"/>
  <c r="K216" i="5"/>
  <c r="K281" i="5"/>
  <c r="K321" i="5"/>
  <c r="K104" i="5"/>
  <c r="K303" i="5"/>
  <c r="K82" i="5"/>
  <c r="K6" i="5"/>
  <c r="K223" i="5"/>
  <c r="K159" i="5"/>
  <c r="K305" i="5"/>
  <c r="K200" i="5"/>
  <c r="K84" i="5"/>
  <c r="K325" i="5"/>
  <c r="K250" i="5"/>
  <c r="K164" i="5"/>
  <c r="K80" i="5"/>
  <c r="K71" i="5"/>
  <c r="K124" i="5"/>
  <c r="K10" i="5"/>
  <c r="K105" i="5"/>
  <c r="K39" i="5"/>
  <c r="K228" i="5"/>
  <c r="K243" i="5"/>
  <c r="K129" i="5"/>
  <c r="K17" i="5"/>
  <c r="K278" i="5"/>
  <c r="K63" i="5"/>
  <c r="K248" i="5"/>
  <c r="K150" i="5"/>
  <c r="K86" i="5"/>
  <c r="K22" i="5"/>
  <c r="K90" i="5"/>
  <c r="K145" i="5"/>
  <c r="K127" i="5"/>
  <c r="K234" i="5"/>
  <c r="K218" i="5"/>
  <c r="K48" i="5"/>
  <c r="K340" i="5"/>
  <c r="K206" i="5"/>
  <c r="K142" i="5"/>
  <c r="K78" i="5"/>
  <c r="K14" i="5"/>
  <c r="K181" i="5"/>
  <c r="K49" i="5"/>
  <c r="K268" i="5"/>
  <c r="K309" i="5"/>
  <c r="K173" i="5"/>
  <c r="K45" i="5"/>
  <c r="K59" i="5"/>
  <c r="K361" i="5"/>
  <c r="K42" i="5"/>
  <c r="K130" i="5"/>
  <c r="K272" i="5"/>
  <c r="K329" i="5"/>
  <c r="K226" i="5"/>
  <c r="K114" i="5"/>
  <c r="K183" i="5"/>
  <c r="K120" i="5"/>
  <c r="K8" i="5"/>
  <c r="K316" i="5"/>
  <c r="K240" i="5"/>
  <c r="K222" i="5"/>
  <c r="K191" i="5"/>
  <c r="K201" i="5"/>
  <c r="K156" i="5"/>
  <c r="K244" i="5"/>
  <c r="K108" i="5"/>
  <c r="K111" i="5"/>
  <c r="K184" i="5"/>
  <c r="K357" i="5"/>
  <c r="K289" i="5"/>
  <c r="K208" i="5"/>
  <c r="K259" i="5"/>
  <c r="K175" i="5"/>
  <c r="K219" i="5"/>
  <c r="K299" i="5"/>
  <c r="K88" i="5"/>
  <c r="K291" i="5"/>
  <c r="K66" i="5"/>
  <c r="K64" i="5"/>
  <c r="K125" i="5"/>
  <c r="K61" i="5"/>
  <c r="K122" i="5"/>
  <c r="K18" i="5"/>
  <c r="K36" i="5"/>
  <c r="K54" i="5"/>
  <c r="K7" i="5"/>
  <c r="K75" i="5"/>
  <c r="K352" i="5"/>
  <c r="K342" i="5"/>
  <c r="K224" i="5"/>
  <c r="K333" i="5"/>
  <c r="K190" i="5"/>
  <c r="K313" i="5"/>
  <c r="K95" i="5"/>
  <c r="K287" i="5"/>
  <c r="K344" i="5"/>
  <c r="K324" i="5"/>
  <c r="K229" i="5"/>
  <c r="K101" i="5"/>
  <c r="K348" i="5"/>
  <c r="K220" i="5"/>
  <c r="K195" i="5"/>
  <c r="K103" i="5"/>
  <c r="K113" i="5"/>
  <c r="K193" i="5"/>
  <c r="K162" i="5"/>
  <c r="K57" i="5"/>
  <c r="K68" i="5"/>
  <c r="K239" i="5"/>
  <c r="K70" i="5"/>
  <c r="K285" i="5"/>
  <c r="K157" i="5"/>
  <c r="K93" i="5"/>
  <c r="K171" i="5"/>
  <c r="K335" i="5"/>
  <c r="K131" i="5"/>
  <c r="K116" i="5"/>
  <c r="K282" i="5"/>
  <c r="K25" i="5"/>
  <c r="K262" i="5"/>
  <c r="K336" i="5"/>
  <c r="K245" i="5"/>
  <c r="K117" i="5"/>
  <c r="K350" i="5"/>
  <c r="K27" i="5"/>
  <c r="K30" i="5"/>
  <c r="K237" i="5"/>
  <c r="K231" i="5"/>
  <c r="K338" i="5"/>
  <c r="K264" i="5"/>
  <c r="K44" i="5"/>
  <c r="K318" i="5"/>
  <c r="K211" i="5"/>
  <c r="K97" i="5"/>
  <c r="K180" i="5"/>
  <c r="K34" i="5"/>
  <c r="K153" i="5"/>
  <c r="K198" i="5"/>
  <c r="K134" i="5"/>
  <c r="K331" i="5"/>
  <c r="K235" i="5"/>
  <c r="K310" i="5"/>
  <c r="K139" i="5"/>
  <c r="K107" i="5"/>
  <c r="K176" i="5"/>
  <c r="K301" i="5"/>
  <c r="K11" i="5"/>
  <c r="K177" i="5"/>
  <c r="K307" i="5"/>
  <c r="K363" i="5"/>
  <c r="K160" i="5"/>
  <c r="K148" i="5"/>
  <c r="K91" i="5"/>
  <c r="K295" i="5"/>
  <c r="K187" i="5"/>
  <c r="K73" i="5"/>
  <c r="K83" i="5"/>
  <c r="K51" i="5"/>
  <c r="K168" i="5"/>
  <c r="K345" i="5"/>
  <c r="K136" i="5"/>
  <c r="K254" i="5"/>
  <c r="K205" i="5"/>
  <c r="K77" i="5"/>
  <c r="K13" i="5"/>
  <c r="K296" i="5"/>
  <c r="K163" i="5"/>
  <c r="K79" i="5"/>
  <c r="K293" i="5"/>
  <c r="K37" i="5"/>
  <c r="K19" i="5"/>
  <c r="K55" i="5"/>
  <c r="K251" i="5"/>
  <c r="K232" i="5"/>
  <c r="K304" i="5"/>
  <c r="K109" i="5"/>
  <c r="K319" i="5"/>
  <c r="K212" i="5"/>
  <c r="K330" i="5"/>
  <c r="K209" i="5"/>
  <c r="K286" i="5"/>
  <c r="K273" i="5"/>
  <c r="K178" i="5"/>
  <c r="K358" i="5"/>
  <c r="K265" i="5"/>
  <c r="K169" i="5"/>
  <c r="K252" i="5"/>
  <c r="K154" i="5"/>
  <c r="K99" i="5"/>
  <c r="K194" i="5"/>
  <c r="K279" i="5"/>
  <c r="K334" i="5"/>
  <c r="K126" i="5"/>
  <c r="K269" i="5"/>
  <c r="K141" i="5"/>
  <c r="K253" i="5"/>
  <c r="K165" i="5"/>
  <c r="K53" i="5"/>
  <c r="K351" i="5"/>
  <c r="K353" i="5"/>
  <c r="K258" i="5"/>
  <c r="K146" i="5"/>
  <c r="K32" i="5"/>
  <c r="K320" i="5"/>
  <c r="K215" i="5"/>
  <c r="K96" i="5"/>
  <c r="K137" i="5"/>
  <c r="K23" i="5"/>
  <c r="K50" i="5"/>
  <c r="K144" i="5"/>
  <c r="K89" i="5"/>
  <c r="K349" i="5"/>
  <c r="K280" i="5"/>
  <c r="K196" i="5"/>
  <c r="K112" i="5"/>
  <c r="K26" i="5"/>
  <c r="K238" i="5"/>
  <c r="K174" i="5"/>
  <c r="K110" i="5"/>
  <c r="K46" i="5"/>
  <c r="K261" i="5"/>
  <c r="K197" i="5"/>
  <c r="K133" i="5"/>
  <c r="K69" i="5"/>
  <c r="K322" i="5"/>
  <c r="K115" i="5"/>
  <c r="K98" i="5"/>
  <c r="K241" i="5"/>
  <c r="K52" i="5"/>
  <c r="K347" i="5"/>
  <c r="K185" i="5"/>
  <c r="K343" i="5"/>
  <c r="K308" i="5"/>
  <c r="K87" i="5"/>
  <c r="K275" i="5"/>
  <c r="K339" i="5"/>
  <c r="K242" i="5"/>
  <c r="K128" i="5"/>
  <c r="K12" i="5"/>
  <c r="K360" i="5"/>
  <c r="K267" i="5"/>
  <c r="K155" i="5"/>
  <c r="K41" i="5"/>
  <c r="K298" i="5"/>
  <c r="K123" i="5"/>
  <c r="K355" i="5"/>
  <c r="K132" i="5"/>
  <c r="K341" i="5"/>
  <c r="K271" i="5"/>
  <c r="K186" i="5"/>
  <c r="K100" i="5"/>
  <c r="K16" i="5"/>
  <c r="K230" i="5"/>
  <c r="K166" i="5"/>
  <c r="K102" i="5"/>
  <c r="K38" i="5"/>
  <c r="K247" i="5"/>
  <c r="K255" i="5"/>
  <c r="K327" i="5"/>
  <c r="K20" i="5"/>
  <c r="K188" i="5"/>
  <c r="K92" i="5"/>
  <c r="K67" i="5"/>
  <c r="K260" i="5"/>
  <c r="K140" i="5"/>
  <c r="K249" i="5"/>
  <c r="K158" i="5"/>
  <c r="K94" i="5"/>
  <c r="K317" i="5"/>
  <c r="K29" i="5"/>
  <c r="K74" i="5"/>
  <c r="K143" i="5"/>
  <c r="K315" i="5"/>
  <c r="K270" i="5"/>
  <c r="K221" i="5"/>
  <c r="K33" i="5"/>
  <c r="K256" i="5"/>
  <c r="K81" i="5"/>
  <c r="K62" i="5"/>
  <c r="K189" i="5"/>
  <c r="K119" i="5"/>
  <c r="K346" i="5"/>
  <c r="K202" i="5"/>
  <c r="K306" i="5"/>
  <c r="K362" i="5"/>
  <c r="K43" i="5"/>
  <c r="K179" i="5"/>
  <c r="K328" i="5"/>
  <c r="K225" i="5"/>
  <c r="K359" i="5"/>
  <c r="K266" i="5"/>
  <c r="K152" i="5"/>
  <c r="K40" i="5"/>
  <c r="K170" i="5"/>
  <c r="K302" i="5"/>
  <c r="K323" i="5"/>
  <c r="K106" i="5"/>
  <c r="K135" i="5"/>
  <c r="K35" i="5"/>
  <c r="K332" i="5"/>
  <c r="K227" i="5"/>
  <c r="K257" i="5"/>
  <c r="K9" i="5"/>
  <c r="K161" i="5"/>
  <c r="K203" i="5"/>
  <c r="K147" i="5"/>
  <c r="K294" i="5"/>
  <c r="K72" i="5"/>
  <c r="K138" i="5"/>
  <c r="K24" i="5"/>
  <c r="K290" i="5"/>
  <c r="K65" i="5"/>
  <c r="K312" i="5"/>
  <c r="K204" i="5"/>
  <c r="K121" i="5"/>
  <c r="K217" i="5"/>
  <c r="K47" i="5"/>
  <c r="K233" i="5"/>
  <c r="K263" i="5"/>
  <c r="K297" i="5"/>
  <c r="K28" i="5"/>
  <c r="K274" i="5"/>
  <c r="K311" i="5"/>
  <c r="K284" i="5"/>
  <c r="K172" i="5"/>
  <c r="K60" i="5"/>
  <c r="K56" i="5"/>
  <c r="K199" i="5"/>
  <c r="K337" i="5"/>
  <c r="K236" i="5"/>
  <c r="K300" i="5"/>
  <c r="K192" i="5"/>
  <c r="K76" i="5"/>
  <c r="K58" i="5"/>
  <c r="K15" i="5"/>
  <c r="K356" i="5"/>
  <c r="K288" i="5"/>
  <c r="K207" i="5"/>
  <c r="K277" i="5"/>
  <c r="K213" i="5"/>
  <c r="K149" i="5"/>
  <c r="K85" i="5"/>
  <c r="K21" i="5"/>
  <c r="I4" i="5"/>
  <c r="J4" i="5" s="1"/>
  <c r="K4" i="5" s="1"/>
  <c r="H3" i="4"/>
  <c r="I4" i="4" s="1"/>
  <c r="J4" i="4" s="1"/>
  <c r="K4" i="4" s="1"/>
  <c r="I100" i="4"/>
  <c r="I178" i="4"/>
  <c r="I306" i="4"/>
  <c r="F13" i="4"/>
  <c r="I136" i="4"/>
  <c r="I138" i="4"/>
  <c r="I316" i="4"/>
  <c r="I271" i="4"/>
  <c r="I339" i="4"/>
  <c r="I218" i="4"/>
  <c r="I322" i="4"/>
  <c r="I18" i="4"/>
  <c r="I44" i="4"/>
  <c r="I208" i="4"/>
  <c r="I241" i="4"/>
  <c r="I113" i="4"/>
  <c r="I302" i="4"/>
  <c r="I174" i="4"/>
  <c r="I46" i="4"/>
  <c r="I301" i="4"/>
  <c r="I237" i="4"/>
  <c r="I173" i="4"/>
  <c r="I109" i="4"/>
  <c r="I45" i="4"/>
  <c r="I99" i="4"/>
  <c r="I304" i="4"/>
  <c r="I258" i="4"/>
  <c r="I75" i="4"/>
  <c r="F21" i="4"/>
  <c r="F205" i="4"/>
  <c r="I162" i="4"/>
  <c r="I344" i="4"/>
  <c r="I163" i="4"/>
  <c r="I347" i="4"/>
  <c r="I139" i="4"/>
  <c r="I334" i="4"/>
  <c r="I91" i="4"/>
  <c r="I296" i="4"/>
  <c r="I175" i="4"/>
  <c r="I350" i="4"/>
  <c r="I307" i="4"/>
  <c r="I204" i="4"/>
  <c r="I103" i="4"/>
  <c r="I32" i="4"/>
  <c r="I312" i="4"/>
  <c r="I210" i="4"/>
  <c r="I107" i="4"/>
  <c r="I331" i="4"/>
  <c r="I236" i="4"/>
  <c r="I135" i="4"/>
  <c r="I19" i="4"/>
  <c r="I298" i="4"/>
  <c r="I195" i="4"/>
  <c r="I92" i="4"/>
  <c r="I297" i="4"/>
  <c r="I233" i="4"/>
  <c r="I169" i="4"/>
  <c r="I105" i="4"/>
  <c r="I41" i="4"/>
  <c r="I294" i="4"/>
  <c r="I230" i="4"/>
  <c r="I166" i="4"/>
  <c r="I102" i="4"/>
  <c r="I38" i="4"/>
  <c r="I293" i="4"/>
  <c r="I229" i="4"/>
  <c r="I165" i="4"/>
  <c r="I101" i="4"/>
  <c r="I37" i="4"/>
  <c r="I124" i="4"/>
  <c r="I325" i="4"/>
  <c r="I280" i="4"/>
  <c r="I283" i="4"/>
  <c r="I355" i="4"/>
  <c r="F61" i="4"/>
  <c r="F269" i="4"/>
  <c r="I187" i="4"/>
  <c r="I357" i="4"/>
  <c r="I188" i="4"/>
  <c r="I358" i="4"/>
  <c r="I164" i="4"/>
  <c r="I348" i="4"/>
  <c r="I116" i="4"/>
  <c r="I349" i="4"/>
  <c r="I200" i="4"/>
  <c r="I295" i="4"/>
  <c r="I192" i="4"/>
  <c r="I90" i="4"/>
  <c r="I7" i="4"/>
  <c r="I299" i="4"/>
  <c r="I196" i="4"/>
  <c r="I95" i="4"/>
  <c r="I323" i="4"/>
  <c r="I224" i="4"/>
  <c r="I122" i="4"/>
  <c r="I361" i="4"/>
  <c r="I284" i="4"/>
  <c r="I183" i="4"/>
  <c r="I80" i="4"/>
  <c r="I289" i="4"/>
  <c r="I225" i="4"/>
  <c r="I161" i="4"/>
  <c r="I97" i="4"/>
  <c r="I33" i="4"/>
  <c r="I286" i="4"/>
  <c r="I222" i="4"/>
  <c r="I158" i="4"/>
  <c r="I94" i="4"/>
  <c r="I30" i="4"/>
  <c r="I285" i="4"/>
  <c r="I221" i="4"/>
  <c r="I157" i="4"/>
  <c r="I93" i="4"/>
  <c r="I29" i="4"/>
  <c r="I151" i="4"/>
  <c r="I340" i="4"/>
  <c r="I180" i="4"/>
  <c r="I203" i="4"/>
  <c r="I356" i="4"/>
  <c r="F189" i="4"/>
  <c r="I332" i="4"/>
  <c r="I333" i="4"/>
  <c r="I114" i="4"/>
  <c r="I40" i="4"/>
  <c r="I148" i="4"/>
  <c r="I319" i="4"/>
  <c r="I115" i="4"/>
  <c r="I12" i="4"/>
  <c r="I223" i="4"/>
  <c r="I120" i="4"/>
  <c r="I250" i="4"/>
  <c r="I147" i="4"/>
  <c r="I311" i="4"/>
  <c r="I106" i="4"/>
  <c r="I305" i="4"/>
  <c r="I177" i="4"/>
  <c r="I49" i="4"/>
  <c r="I238" i="4"/>
  <c r="I110" i="4"/>
  <c r="I342" i="4"/>
  <c r="F77" i="4"/>
  <c r="I8" i="4"/>
  <c r="I212" i="4"/>
  <c r="I10" i="4"/>
  <c r="I215" i="4"/>
  <c r="I320" i="4"/>
  <c r="I191" i="4"/>
  <c r="I360" i="4"/>
  <c r="I143" i="4"/>
  <c r="I20" i="4"/>
  <c r="I226" i="4"/>
  <c r="I359" i="4"/>
  <c r="I282" i="4"/>
  <c r="I179" i="4"/>
  <c r="I76" i="4"/>
  <c r="I362" i="4"/>
  <c r="I287" i="4"/>
  <c r="I184" i="4"/>
  <c r="I82" i="4"/>
  <c r="I313" i="4"/>
  <c r="I211" i="4"/>
  <c r="I108" i="4"/>
  <c r="I353" i="4"/>
  <c r="I272" i="4"/>
  <c r="I170" i="4"/>
  <c r="I67" i="4"/>
  <c r="I281" i="4"/>
  <c r="I217" i="4"/>
  <c r="I153" i="4"/>
  <c r="I89" i="4"/>
  <c r="I25" i="4"/>
  <c r="I278" i="4"/>
  <c r="I214" i="4"/>
  <c r="I150" i="4"/>
  <c r="I86" i="4"/>
  <c r="I22" i="4"/>
  <c r="I277" i="4"/>
  <c r="I213" i="4"/>
  <c r="I149" i="4"/>
  <c r="I85" i="4"/>
  <c r="I21" i="4"/>
  <c r="I176" i="4"/>
  <c r="I352" i="4"/>
  <c r="I27" i="4"/>
  <c r="I50" i="4"/>
  <c r="I79" i="4"/>
  <c r="F85" i="4"/>
  <c r="I34" i="4"/>
  <c r="I239" i="4"/>
  <c r="I35" i="4"/>
  <c r="I240" i="4"/>
  <c r="I11" i="4"/>
  <c r="I216" i="4"/>
  <c r="I66" i="4"/>
  <c r="I168" i="4"/>
  <c r="I47" i="4"/>
  <c r="I251" i="4"/>
  <c r="I351" i="4"/>
  <c r="I268" i="4"/>
  <c r="I167" i="4"/>
  <c r="I64" i="4"/>
  <c r="I354" i="4"/>
  <c r="I274" i="4"/>
  <c r="I171" i="4"/>
  <c r="I68" i="4"/>
  <c r="I300" i="4"/>
  <c r="I199" i="4"/>
  <c r="I96" i="4"/>
  <c r="I345" i="4"/>
  <c r="I259" i="4"/>
  <c r="I156" i="4"/>
  <c r="I55" i="4"/>
  <c r="I273" i="4"/>
  <c r="I209" i="4"/>
  <c r="I145" i="4"/>
  <c r="I81" i="4"/>
  <c r="I17" i="4"/>
  <c r="I270" i="4"/>
  <c r="I206" i="4"/>
  <c r="I142" i="4"/>
  <c r="I78" i="4"/>
  <c r="I14" i="4"/>
  <c r="I269" i="4"/>
  <c r="I205" i="4"/>
  <c r="I141" i="4"/>
  <c r="I77" i="4"/>
  <c r="I13" i="4"/>
  <c r="I202" i="4"/>
  <c r="I24" i="4"/>
  <c r="I130" i="4"/>
  <c r="I152" i="4"/>
  <c r="I104" i="4"/>
  <c r="F125" i="4"/>
  <c r="I59" i="4"/>
  <c r="I264" i="4"/>
  <c r="I60" i="4"/>
  <c r="I266" i="4"/>
  <c r="I36" i="4"/>
  <c r="I242" i="4"/>
  <c r="I336" i="4"/>
  <c r="I194" i="4"/>
  <c r="I72" i="4"/>
  <c r="I276" i="4"/>
  <c r="I343" i="4"/>
  <c r="I256" i="4"/>
  <c r="I154" i="4"/>
  <c r="I51" i="4"/>
  <c r="I346" i="4"/>
  <c r="I260" i="4"/>
  <c r="I159" i="4"/>
  <c r="I56" i="4"/>
  <c r="I288" i="4"/>
  <c r="I186" i="4"/>
  <c r="I83" i="4"/>
  <c r="I337" i="4"/>
  <c r="I247" i="4"/>
  <c r="I144" i="4"/>
  <c r="I42" i="4"/>
  <c r="I265" i="4"/>
  <c r="I201" i="4"/>
  <c r="I137" i="4"/>
  <c r="I73" i="4"/>
  <c r="I9" i="4"/>
  <c r="I262" i="4"/>
  <c r="I198" i="4"/>
  <c r="I134" i="4"/>
  <c r="I70" i="4"/>
  <c r="I6" i="4"/>
  <c r="I261" i="4"/>
  <c r="I197" i="4"/>
  <c r="I133" i="4"/>
  <c r="I69" i="4"/>
  <c r="I5" i="4"/>
  <c r="I227" i="4"/>
  <c r="I127" i="4"/>
  <c r="I232" i="4"/>
  <c r="I255" i="4"/>
  <c r="I207" i="4"/>
  <c r="F141" i="4"/>
  <c r="I84" i="4"/>
  <c r="I290" i="4"/>
  <c r="I87" i="4"/>
  <c r="I291" i="4"/>
  <c r="I63" i="4"/>
  <c r="I267" i="4"/>
  <c r="I363" i="4"/>
  <c r="I219" i="4"/>
  <c r="I98" i="4"/>
  <c r="I303" i="4"/>
  <c r="I335" i="4"/>
  <c r="I243" i="4"/>
  <c r="I140" i="4"/>
  <c r="I39" i="4"/>
  <c r="I338" i="4"/>
  <c r="I248" i="4"/>
  <c r="I146" i="4"/>
  <c r="I43" i="4"/>
  <c r="I275" i="4"/>
  <c r="I172" i="4"/>
  <c r="I71" i="4"/>
  <c r="I329" i="4"/>
  <c r="I234" i="4"/>
  <c r="I131" i="4"/>
  <c r="I28" i="4"/>
  <c r="I257" i="4"/>
  <c r="I193" i="4"/>
  <c r="I129" i="4"/>
  <c r="I65" i="4"/>
  <c r="I318" i="4"/>
  <c r="I254" i="4"/>
  <c r="I190" i="4"/>
  <c r="I126" i="4"/>
  <c r="I62" i="4"/>
  <c r="I317" i="4"/>
  <c r="I253" i="4"/>
  <c r="I189" i="4"/>
  <c r="I125" i="4"/>
  <c r="I61" i="4"/>
  <c r="I48" i="4"/>
  <c r="I252" i="4"/>
  <c r="I228" i="4"/>
  <c r="I328" i="4"/>
  <c r="I341" i="4"/>
  <c r="I308" i="4"/>
  <c r="F149" i="4"/>
  <c r="I111" i="4"/>
  <c r="I314" i="4"/>
  <c r="I112" i="4"/>
  <c r="I315" i="4"/>
  <c r="I88" i="4"/>
  <c r="I292" i="4"/>
  <c r="I15" i="4"/>
  <c r="I244" i="4"/>
  <c r="I123" i="4"/>
  <c r="I324" i="4"/>
  <c r="I327" i="4"/>
  <c r="I231" i="4"/>
  <c r="I128" i="4"/>
  <c r="I26" i="4"/>
  <c r="I330" i="4"/>
  <c r="I235" i="4"/>
  <c r="I132" i="4"/>
  <c r="I31" i="4"/>
  <c r="I263" i="4"/>
  <c r="I160" i="4"/>
  <c r="I58" i="4"/>
  <c r="I321" i="4"/>
  <c r="I220" i="4"/>
  <c r="I119" i="4"/>
  <c r="I16" i="4"/>
  <c r="I249" i="4"/>
  <c r="I185" i="4"/>
  <c r="I121" i="4"/>
  <c r="I57" i="4"/>
  <c r="I310" i="4"/>
  <c r="I246" i="4"/>
  <c r="I182" i="4"/>
  <c r="I118" i="4"/>
  <c r="I54" i="4"/>
  <c r="I309" i="4"/>
  <c r="I245" i="4"/>
  <c r="I181" i="4"/>
  <c r="I117" i="4"/>
  <c r="I53" i="4"/>
  <c r="I74" i="4"/>
  <c r="I279" i="4"/>
  <c r="I326" i="4"/>
  <c r="I155" i="4"/>
  <c r="I52" i="4"/>
  <c r="I23" i="4"/>
  <c r="F253" i="4"/>
  <c r="F317" i="4"/>
  <c r="F63" i="4"/>
  <c r="F199" i="4"/>
  <c r="F327" i="4"/>
  <c r="F54" i="4"/>
  <c r="F118" i="4"/>
  <c r="F182" i="4"/>
  <c r="F246" i="4"/>
  <c r="F310" i="4"/>
  <c r="F71" i="4"/>
  <c r="F223" i="4"/>
  <c r="F31" i="4"/>
  <c r="F8" i="4"/>
  <c r="F72" i="4"/>
  <c r="F136" i="4"/>
  <c r="F41" i="4"/>
  <c r="F105" i="4"/>
  <c r="F169" i="4"/>
  <c r="F233" i="4"/>
  <c r="F297" i="4"/>
  <c r="F361" i="4"/>
  <c r="F99" i="4"/>
  <c r="F171" i="4"/>
  <c r="F275" i="4"/>
  <c r="F36" i="4"/>
  <c r="F50" i="4"/>
  <c r="F114" i="4"/>
  <c r="F178" i="4"/>
  <c r="F242" i="4"/>
  <c r="F306" i="4"/>
  <c r="F11" i="4"/>
  <c r="F251" i="4"/>
  <c r="F12" i="4"/>
  <c r="F336" i="4"/>
  <c r="F344" i="4"/>
  <c r="F360" i="4"/>
  <c r="F252" i="4"/>
  <c r="F220" i="4"/>
  <c r="F228" i="4"/>
  <c r="F69" i="4"/>
  <c r="F133" i="4"/>
  <c r="F197" i="4"/>
  <c r="F261" i="4"/>
  <c r="F325" i="4"/>
  <c r="F79" i="4"/>
  <c r="F215" i="4"/>
  <c r="F351" i="4"/>
  <c r="F62" i="4"/>
  <c r="F126" i="4"/>
  <c r="F190" i="4"/>
  <c r="F254" i="4"/>
  <c r="F318" i="4"/>
  <c r="F95" i="4"/>
  <c r="F247" i="4"/>
  <c r="F39" i="4"/>
  <c r="F16" i="4"/>
  <c r="F80" i="4"/>
  <c r="F144" i="4"/>
  <c r="F49" i="4"/>
  <c r="F113" i="4"/>
  <c r="F177" i="4"/>
  <c r="F241" i="4"/>
  <c r="F305" i="4"/>
  <c r="F19" i="4"/>
  <c r="F107" i="4"/>
  <c r="F179" i="4"/>
  <c r="F291" i="4"/>
  <c r="F44" i="4"/>
  <c r="F58" i="4"/>
  <c r="F122" i="4"/>
  <c r="F186" i="4"/>
  <c r="F250" i="4"/>
  <c r="F314" i="4"/>
  <c r="F27" i="4"/>
  <c r="F267" i="4"/>
  <c r="F116" i="4"/>
  <c r="F60" i="4"/>
  <c r="F76" i="4"/>
  <c r="F108" i="4"/>
  <c r="F68" i="4"/>
  <c r="F316" i="4"/>
  <c r="F284" i="4"/>
  <c r="F292" i="4"/>
  <c r="F333" i="4"/>
  <c r="F87" i="4"/>
  <c r="F239" i="4"/>
  <c r="F6" i="4"/>
  <c r="F70" i="4"/>
  <c r="F134" i="4"/>
  <c r="F198" i="4"/>
  <c r="F262" i="4"/>
  <c r="F326" i="4"/>
  <c r="F119" i="4"/>
  <c r="F271" i="4"/>
  <c r="F55" i="4"/>
  <c r="F24" i="4"/>
  <c r="F88" i="4"/>
  <c r="F152" i="4"/>
  <c r="F57" i="4"/>
  <c r="F121" i="4"/>
  <c r="F185" i="4"/>
  <c r="F249" i="4"/>
  <c r="F313" i="4"/>
  <c r="F35" i="4"/>
  <c r="F115" i="4"/>
  <c r="F195" i="4"/>
  <c r="F315" i="4"/>
  <c r="F52" i="4"/>
  <c r="F66" i="4"/>
  <c r="F130" i="4"/>
  <c r="F194" i="4"/>
  <c r="F258" i="4"/>
  <c r="F322" i="4"/>
  <c r="F59" i="4"/>
  <c r="F283" i="4"/>
  <c r="F172" i="4"/>
  <c r="F124" i="4"/>
  <c r="F140" i="4"/>
  <c r="F168" i="4"/>
  <c r="F180" i="4"/>
  <c r="F92" i="4"/>
  <c r="F348" i="4"/>
  <c r="F356" i="4"/>
  <c r="F213" i="4"/>
  <c r="F277" i="4"/>
  <c r="F341" i="4"/>
  <c r="F111" i="4"/>
  <c r="F255" i="4"/>
  <c r="F14" i="4"/>
  <c r="F78" i="4"/>
  <c r="F142" i="4"/>
  <c r="F206" i="4"/>
  <c r="F270" i="4"/>
  <c r="F334" i="4"/>
  <c r="F135" i="4"/>
  <c r="F287" i="4"/>
  <c r="F103" i="4"/>
  <c r="F32" i="4"/>
  <c r="F96" i="4"/>
  <c r="F160" i="4"/>
  <c r="F65" i="4"/>
  <c r="F129" i="4"/>
  <c r="F193" i="4"/>
  <c r="F257" i="4"/>
  <c r="F321" i="4"/>
  <c r="F43" i="4"/>
  <c r="F123" i="4"/>
  <c r="F203" i="4"/>
  <c r="F331" i="4"/>
  <c r="F10" i="4"/>
  <c r="F74" i="4"/>
  <c r="F138" i="4"/>
  <c r="F202" i="4"/>
  <c r="F266" i="4"/>
  <c r="F330" i="4"/>
  <c r="F83" i="4"/>
  <c r="F299" i="4"/>
  <c r="F204" i="4"/>
  <c r="F176" i="4"/>
  <c r="F184" i="4"/>
  <c r="F200" i="4"/>
  <c r="F244" i="4"/>
  <c r="F100" i="4"/>
  <c r="F156" i="4"/>
  <c r="F320" i="4"/>
  <c r="F29" i="4"/>
  <c r="F93" i="4"/>
  <c r="F157" i="4"/>
  <c r="F221" i="4"/>
  <c r="F285" i="4"/>
  <c r="F349" i="4"/>
  <c r="F127" i="4"/>
  <c r="F263" i="4"/>
  <c r="F22" i="4"/>
  <c r="F86" i="4"/>
  <c r="F150" i="4"/>
  <c r="F214" i="4"/>
  <c r="F278" i="4"/>
  <c r="F342" i="4"/>
  <c r="F151" i="4"/>
  <c r="F311" i="4"/>
  <c r="F167" i="4"/>
  <c r="F40" i="4"/>
  <c r="F104" i="4"/>
  <c r="F9" i="4"/>
  <c r="F73" i="4"/>
  <c r="F137" i="4"/>
  <c r="F201" i="4"/>
  <c r="F265" i="4"/>
  <c r="F329" i="4"/>
  <c r="F51" i="4"/>
  <c r="F139" i="4"/>
  <c r="F211" i="4"/>
  <c r="F347" i="4"/>
  <c r="F18" i="4"/>
  <c r="F82" i="4"/>
  <c r="F146" i="4"/>
  <c r="F210" i="4"/>
  <c r="F274" i="4"/>
  <c r="F338" i="4"/>
  <c r="F131" i="4"/>
  <c r="F323" i="4"/>
  <c r="F236" i="4"/>
  <c r="F208" i="4"/>
  <c r="F216" i="4"/>
  <c r="F232" i="4"/>
  <c r="F308" i="4"/>
  <c r="F196" i="4"/>
  <c r="F224" i="4"/>
  <c r="F132" i="4"/>
  <c r="F37" i="4"/>
  <c r="F101" i="4"/>
  <c r="F165" i="4"/>
  <c r="F229" i="4"/>
  <c r="F293" i="4"/>
  <c r="F357" i="4"/>
  <c r="F143" i="4"/>
  <c r="F279" i="4"/>
  <c r="F30" i="4"/>
  <c r="F94" i="4"/>
  <c r="F158" i="4"/>
  <c r="F222" i="4"/>
  <c r="F286" i="4"/>
  <c r="F350" i="4"/>
  <c r="F175" i="4"/>
  <c r="F335" i="4"/>
  <c r="F231" i="4"/>
  <c r="F48" i="4"/>
  <c r="F112" i="4"/>
  <c r="F17" i="4"/>
  <c r="F81" i="4"/>
  <c r="F145" i="4"/>
  <c r="F209" i="4"/>
  <c r="F273" i="4"/>
  <c r="F337" i="4"/>
  <c r="F67" i="4"/>
  <c r="F147" i="4"/>
  <c r="F227" i="4"/>
  <c r="F363" i="4"/>
  <c r="F26" i="4"/>
  <c r="F90" i="4"/>
  <c r="F154" i="4"/>
  <c r="F218" i="4"/>
  <c r="F282" i="4"/>
  <c r="F346" i="4"/>
  <c r="F187" i="4"/>
  <c r="F339" i="4"/>
  <c r="F268" i="4"/>
  <c r="F240" i="4"/>
  <c r="F248" i="4"/>
  <c r="F264" i="4"/>
  <c r="F256" i="4"/>
  <c r="F260" i="4"/>
  <c r="F288" i="4"/>
  <c r="D3" i="4"/>
  <c r="F4" i="4" s="1"/>
  <c r="G4" i="4" s="1"/>
  <c r="F276" i="4"/>
  <c r="F340" i="4"/>
  <c r="F45" i="4"/>
  <c r="F109" i="4"/>
  <c r="F173" i="4"/>
  <c r="F237" i="4"/>
  <c r="F301" i="4"/>
  <c r="F15" i="4"/>
  <c r="F159" i="4"/>
  <c r="F303" i="4"/>
  <c r="F38" i="4"/>
  <c r="F102" i="4"/>
  <c r="F166" i="4"/>
  <c r="F230" i="4"/>
  <c r="F294" i="4"/>
  <c r="F358" i="4"/>
  <c r="F191" i="4"/>
  <c r="F359" i="4"/>
  <c r="F295" i="4"/>
  <c r="F56" i="4"/>
  <c r="F120" i="4"/>
  <c r="F25" i="4"/>
  <c r="F89" i="4"/>
  <c r="F153" i="4"/>
  <c r="F217" i="4"/>
  <c r="F281" i="4"/>
  <c r="F345" i="4"/>
  <c r="F75" i="4"/>
  <c r="F155" i="4"/>
  <c r="F243" i="4"/>
  <c r="F20" i="4"/>
  <c r="F34" i="4"/>
  <c r="F98" i="4"/>
  <c r="F162" i="4"/>
  <c r="F226" i="4"/>
  <c r="F290" i="4"/>
  <c r="F354" i="4"/>
  <c r="F219" i="4"/>
  <c r="F355" i="4"/>
  <c r="F300" i="4"/>
  <c r="F272" i="4"/>
  <c r="F280" i="4"/>
  <c r="F296" i="4"/>
  <c r="F84" i="4"/>
  <c r="F324" i="4"/>
  <c r="F352" i="4"/>
  <c r="F212" i="4"/>
  <c r="F53" i="4"/>
  <c r="F117" i="4"/>
  <c r="F181" i="4"/>
  <c r="F245" i="4"/>
  <c r="F309" i="4"/>
  <c r="F47" i="4"/>
  <c r="F183" i="4"/>
  <c r="F319" i="4"/>
  <c r="F46" i="4"/>
  <c r="F110" i="4"/>
  <c r="F174" i="4"/>
  <c r="F238" i="4"/>
  <c r="F302" i="4"/>
  <c r="F23" i="4"/>
  <c r="F207" i="4"/>
  <c r="F7" i="4"/>
  <c r="F343" i="4"/>
  <c r="F64" i="4"/>
  <c r="F128" i="4"/>
  <c r="F33" i="4"/>
  <c r="F97" i="4"/>
  <c r="F161" i="4"/>
  <c r="F225" i="4"/>
  <c r="F289" i="4"/>
  <c r="F353" i="4"/>
  <c r="F91" i="4"/>
  <c r="F163" i="4"/>
  <c r="F259" i="4"/>
  <c r="F28" i="4"/>
  <c r="F42" i="4"/>
  <c r="F106" i="4"/>
  <c r="F170" i="4"/>
  <c r="F234" i="4"/>
  <c r="F298" i="4"/>
  <c r="F362" i="4"/>
  <c r="F235" i="4"/>
  <c r="F307" i="4"/>
  <c r="F332" i="4"/>
  <c r="F304" i="4"/>
  <c r="F312" i="4"/>
  <c r="F328" i="4"/>
  <c r="F188" i="4"/>
  <c r="F148" i="4"/>
  <c r="F164" i="4"/>
  <c r="F5" i="4"/>
  <c r="B11" i="6" a="1"/>
  <c r="B11" i="6" s="1"/>
  <c r="S28" i="5"/>
  <c r="S36" i="5"/>
  <c r="S44" i="5"/>
  <c r="S52" i="5"/>
  <c r="S60" i="5"/>
  <c r="S68" i="5"/>
  <c r="S76" i="5"/>
  <c r="S84" i="5"/>
  <c r="S92" i="5"/>
  <c r="S100" i="5"/>
  <c r="S108" i="5"/>
  <c r="S116" i="5"/>
  <c r="S124" i="5"/>
  <c r="S132" i="5"/>
  <c r="S140" i="5"/>
  <c r="S148" i="5"/>
  <c r="S156" i="5"/>
  <c r="S164" i="5"/>
  <c r="S172" i="5"/>
  <c r="S180" i="5"/>
  <c r="S188" i="5"/>
  <c r="S196" i="5"/>
  <c r="S204" i="5"/>
  <c r="S212" i="5"/>
  <c r="S220" i="5"/>
  <c r="S228" i="5"/>
  <c r="S236" i="5"/>
  <c r="S244" i="5"/>
  <c r="S252" i="5"/>
  <c r="S260" i="5"/>
  <c r="S268" i="5"/>
  <c r="S276" i="5"/>
  <c r="S284" i="5"/>
  <c r="S292" i="5"/>
  <c r="S300" i="5"/>
  <c r="S308" i="5"/>
  <c r="S316" i="5"/>
  <c r="S324" i="5"/>
  <c r="S332" i="5"/>
  <c r="S340" i="5"/>
  <c r="S348" i="5"/>
  <c r="S356" i="5"/>
  <c r="S29" i="5"/>
  <c r="S37" i="5"/>
  <c r="S45" i="5"/>
  <c r="S53" i="5"/>
  <c r="S61" i="5"/>
  <c r="S69" i="5"/>
  <c r="S77" i="5"/>
  <c r="S85" i="5"/>
  <c r="S93" i="5"/>
  <c r="S101" i="5"/>
  <c r="S109" i="5"/>
  <c r="S117" i="5"/>
  <c r="S125" i="5"/>
  <c r="S133" i="5"/>
  <c r="S141" i="5"/>
  <c r="S149" i="5"/>
  <c r="S157" i="5"/>
  <c r="S165" i="5"/>
  <c r="S173" i="5"/>
  <c r="S181" i="5"/>
  <c r="S189" i="5"/>
  <c r="S197" i="5"/>
  <c r="S205" i="5"/>
  <c r="S213" i="5"/>
  <c r="S221" i="5"/>
  <c r="S229" i="5"/>
  <c r="S237" i="5"/>
  <c r="S245" i="5"/>
  <c r="S253" i="5"/>
  <c r="S261" i="5"/>
  <c r="S269" i="5"/>
  <c r="S277" i="5"/>
  <c r="S285" i="5"/>
  <c r="S293" i="5"/>
  <c r="S301" i="5"/>
  <c r="S309" i="5"/>
  <c r="S317" i="5"/>
  <c r="S325" i="5"/>
  <c r="S333" i="5"/>
  <c r="S341" i="5"/>
  <c r="S349" i="5"/>
  <c r="S357" i="5"/>
  <c r="S30" i="5"/>
  <c r="S38" i="5"/>
  <c r="S46" i="5"/>
  <c r="S54" i="5"/>
  <c r="S62" i="5"/>
  <c r="S70" i="5"/>
  <c r="S78" i="5"/>
  <c r="S86" i="5"/>
  <c r="S94" i="5"/>
  <c r="S102" i="5"/>
  <c r="S110" i="5"/>
  <c r="S118" i="5"/>
  <c r="S126" i="5"/>
  <c r="S134" i="5"/>
  <c r="S142" i="5"/>
  <c r="S150" i="5"/>
  <c r="S158" i="5"/>
  <c r="S166" i="5"/>
  <c r="S174" i="5"/>
  <c r="S182" i="5"/>
  <c r="S190" i="5"/>
  <c r="S198" i="5"/>
  <c r="S206" i="5"/>
  <c r="S214" i="5"/>
  <c r="S222" i="5"/>
  <c r="S230" i="5"/>
  <c r="S238" i="5"/>
  <c r="S246" i="5"/>
  <c r="S254" i="5"/>
  <c r="S262" i="5"/>
  <c r="S270" i="5"/>
  <c r="S278" i="5"/>
  <c r="S286" i="5"/>
  <c r="S294" i="5"/>
  <c r="S302" i="5"/>
  <c r="S310" i="5"/>
  <c r="S318" i="5"/>
  <c r="S326" i="5"/>
  <c r="S334" i="5"/>
  <c r="S342" i="5"/>
  <c r="S350" i="5"/>
  <c r="S358" i="5"/>
  <c r="S34" i="5"/>
  <c r="S42" i="5"/>
  <c r="S50" i="5"/>
  <c r="S58" i="5"/>
  <c r="S66" i="5"/>
  <c r="S74" i="5"/>
  <c r="S82" i="5"/>
  <c r="S90" i="5"/>
  <c r="S98" i="5"/>
  <c r="S106" i="5"/>
  <c r="S114" i="5"/>
  <c r="S122" i="5"/>
  <c r="S130" i="5"/>
  <c r="S138" i="5"/>
  <c r="S146" i="5"/>
  <c r="S154" i="5"/>
  <c r="S162" i="5"/>
  <c r="S170" i="5"/>
  <c r="S178" i="5"/>
  <c r="S186" i="5"/>
  <c r="S194" i="5"/>
  <c r="S202" i="5"/>
  <c r="S210" i="5"/>
  <c r="S218" i="5"/>
  <c r="S226" i="5"/>
  <c r="S234" i="5"/>
  <c r="S242" i="5"/>
  <c r="S250" i="5"/>
  <c r="S258" i="5"/>
  <c r="S266" i="5"/>
  <c r="S274" i="5"/>
  <c r="S282" i="5"/>
  <c r="S290" i="5"/>
  <c r="S298" i="5"/>
  <c r="S306" i="5"/>
  <c r="S314" i="5"/>
  <c r="S322" i="5"/>
  <c r="S330" i="5"/>
  <c r="S338" i="5"/>
  <c r="S346" i="5"/>
  <c r="S354" i="5"/>
  <c r="S362" i="5"/>
  <c r="S39" i="5"/>
  <c r="S55" i="5"/>
  <c r="S71" i="5"/>
  <c r="S87" i="5"/>
  <c r="S103" i="5"/>
  <c r="S119" i="5"/>
  <c r="S135" i="5"/>
  <c r="S151" i="5"/>
  <c r="S167" i="5"/>
  <c r="S183" i="5"/>
  <c r="S199" i="5"/>
  <c r="S215" i="5"/>
  <c r="S231" i="5"/>
  <c r="S247" i="5"/>
  <c r="S263" i="5"/>
  <c r="S279" i="5"/>
  <c r="S295" i="5"/>
  <c r="S311" i="5"/>
  <c r="S327" i="5"/>
  <c r="S343" i="5"/>
  <c r="S359" i="5"/>
  <c r="S40" i="5"/>
  <c r="S56" i="5"/>
  <c r="S72" i="5"/>
  <c r="S88" i="5"/>
  <c r="S104" i="5"/>
  <c r="S120" i="5"/>
  <c r="S136" i="5"/>
  <c r="S152" i="5"/>
  <c r="S168" i="5"/>
  <c r="S184" i="5"/>
  <c r="S200" i="5"/>
  <c r="S216" i="5"/>
  <c r="S232" i="5"/>
  <c r="S248" i="5"/>
  <c r="S264" i="5"/>
  <c r="S280" i="5"/>
  <c r="S296" i="5"/>
  <c r="S312" i="5"/>
  <c r="S328" i="5"/>
  <c r="S344" i="5"/>
  <c r="S360" i="5"/>
  <c r="S41" i="5"/>
  <c r="S57" i="5"/>
  <c r="S73" i="5"/>
  <c r="S89" i="5"/>
  <c r="S105" i="5"/>
  <c r="S121" i="5"/>
  <c r="S137" i="5"/>
  <c r="S153" i="5"/>
  <c r="S169" i="5"/>
  <c r="S185" i="5"/>
  <c r="S201" i="5"/>
  <c r="S217" i="5"/>
  <c r="S233" i="5"/>
  <c r="S249" i="5"/>
  <c r="S265" i="5"/>
  <c r="S281" i="5"/>
  <c r="S297" i="5"/>
  <c r="S313" i="5"/>
  <c r="S329" i="5"/>
  <c r="S345" i="5"/>
  <c r="S361" i="5"/>
  <c r="S33" i="5"/>
  <c r="S49" i="5"/>
  <c r="S65" i="5"/>
  <c r="S81" i="5"/>
  <c r="S97" i="5"/>
  <c r="S113" i="5"/>
  <c r="S129" i="5"/>
  <c r="S145" i="5"/>
  <c r="S161" i="5"/>
  <c r="S177" i="5"/>
  <c r="S193" i="5"/>
  <c r="S209" i="5"/>
  <c r="S225" i="5"/>
  <c r="S241" i="5"/>
  <c r="S257" i="5"/>
  <c r="S273" i="5"/>
  <c r="S289" i="5"/>
  <c r="S305" i="5"/>
  <c r="S321" i="5"/>
  <c r="S337" i="5"/>
  <c r="S353" i="5"/>
  <c r="S43" i="5"/>
  <c r="S75" i="5"/>
  <c r="S107" i="5"/>
  <c r="S139" i="5"/>
  <c r="S171" i="5"/>
  <c r="S203" i="5"/>
  <c r="S235" i="5"/>
  <c r="S267" i="5"/>
  <c r="S299" i="5"/>
  <c r="S331" i="5"/>
  <c r="S363" i="5"/>
  <c r="S27" i="5"/>
  <c r="S123" i="5"/>
  <c r="S219" i="5"/>
  <c r="S315" i="5"/>
  <c r="S95" i="5"/>
  <c r="S159" i="5"/>
  <c r="S255" i="5"/>
  <c r="S351" i="5"/>
  <c r="S47" i="5"/>
  <c r="S79" i="5"/>
  <c r="S111" i="5"/>
  <c r="S143" i="5"/>
  <c r="S175" i="5"/>
  <c r="S207" i="5"/>
  <c r="S239" i="5"/>
  <c r="S271" i="5"/>
  <c r="S303" i="5"/>
  <c r="S335" i="5"/>
  <c r="S307" i="5"/>
  <c r="S59" i="5"/>
  <c r="S187" i="5"/>
  <c r="S283" i="5"/>
  <c r="S127" i="5"/>
  <c r="S223" i="5"/>
  <c r="S319" i="5"/>
  <c r="S48" i="5"/>
  <c r="S80" i="5"/>
  <c r="S112" i="5"/>
  <c r="S144" i="5"/>
  <c r="S176" i="5"/>
  <c r="S208" i="5"/>
  <c r="S240" i="5"/>
  <c r="S272" i="5"/>
  <c r="S304" i="5"/>
  <c r="S336" i="5"/>
  <c r="S51" i="5"/>
  <c r="S83" i="5"/>
  <c r="S115" i="5"/>
  <c r="S147" i="5"/>
  <c r="S179" i="5"/>
  <c r="S211" i="5"/>
  <c r="S243" i="5"/>
  <c r="S275" i="5"/>
  <c r="S339" i="5"/>
  <c r="S91" i="5"/>
  <c r="S155" i="5"/>
  <c r="S251" i="5"/>
  <c r="S347" i="5"/>
  <c r="S63" i="5"/>
  <c r="S191" i="5"/>
  <c r="S287" i="5"/>
  <c r="S31" i="5"/>
  <c r="S32" i="5"/>
  <c r="S64" i="5"/>
  <c r="S96" i="5"/>
  <c r="S128" i="5"/>
  <c r="S160" i="5"/>
  <c r="S192" i="5"/>
  <c r="S224" i="5"/>
  <c r="S256" i="5"/>
  <c r="S288" i="5"/>
  <c r="S320" i="5"/>
  <c r="S352" i="5"/>
  <c r="S35" i="5"/>
  <c r="S67" i="5"/>
  <c r="S99" i="5"/>
  <c r="S131" i="5"/>
  <c r="S163" i="5"/>
  <c r="S195" i="5"/>
  <c r="S227" i="5"/>
  <c r="S259" i="5"/>
  <c r="S291" i="5"/>
  <c r="S323" i="5"/>
  <c r="S355" i="5"/>
  <c r="K5" i="5" l="1"/>
  <c r="J5" i="4"/>
  <c r="G5" i="4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5" i="5"/>
  <c r="E4" i="5"/>
  <c r="F4" i="5" s="1"/>
  <c r="G4" i="5"/>
  <c r="Q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E29" i="4"/>
  <c r="B30" i="4"/>
  <c r="B31" i="4"/>
  <c r="B32" i="4"/>
  <c r="B33" i="4"/>
  <c r="B34" i="4"/>
  <c r="B35" i="4"/>
  <c r="B36" i="4"/>
  <c r="B37" i="4"/>
  <c r="E37" i="4"/>
  <c r="B38" i="4"/>
  <c r="B39" i="4"/>
  <c r="B40" i="4"/>
  <c r="B41" i="4"/>
  <c r="B42" i="4"/>
  <c r="B43" i="4"/>
  <c r="B44" i="4"/>
  <c r="B45" i="4"/>
  <c r="E45" i="4"/>
  <c r="B46" i="4"/>
  <c r="B47" i="4"/>
  <c r="B48" i="4"/>
  <c r="B49" i="4"/>
  <c r="B50" i="4"/>
  <c r="B51" i="4"/>
  <c r="B52" i="4"/>
  <c r="B53" i="4"/>
  <c r="E53" i="4"/>
  <c r="B54" i="4"/>
  <c r="B55" i="4"/>
  <c r="B56" i="4"/>
  <c r="B57" i="4"/>
  <c r="B58" i="4"/>
  <c r="B59" i="4"/>
  <c r="B60" i="4"/>
  <c r="B61" i="4"/>
  <c r="E61" i="4"/>
  <c r="B62" i="4"/>
  <c r="B63" i="4"/>
  <c r="B64" i="4"/>
  <c r="B65" i="4"/>
  <c r="B66" i="4"/>
  <c r="B67" i="4"/>
  <c r="B68" i="4"/>
  <c r="B69" i="4"/>
  <c r="E69" i="4"/>
  <c r="B70" i="4"/>
  <c r="B71" i="4"/>
  <c r="B72" i="4"/>
  <c r="B73" i="4"/>
  <c r="B74" i="4"/>
  <c r="B75" i="4"/>
  <c r="B76" i="4"/>
  <c r="B77" i="4"/>
  <c r="E77" i="4"/>
  <c r="B78" i="4"/>
  <c r="B79" i="4"/>
  <c r="B80" i="4"/>
  <c r="B81" i="4"/>
  <c r="B82" i="4"/>
  <c r="B83" i="4"/>
  <c r="B84" i="4"/>
  <c r="B85" i="4"/>
  <c r="E85" i="4"/>
  <c r="B86" i="4"/>
  <c r="B87" i="4"/>
  <c r="B88" i="4"/>
  <c r="B89" i="4"/>
  <c r="B90" i="4"/>
  <c r="B91" i="4"/>
  <c r="B92" i="4"/>
  <c r="B93" i="4"/>
  <c r="E93" i="4"/>
  <c r="B94" i="4"/>
  <c r="B95" i="4"/>
  <c r="B96" i="4"/>
  <c r="B97" i="4"/>
  <c r="B98" i="4"/>
  <c r="B99" i="4"/>
  <c r="B100" i="4"/>
  <c r="B101" i="4"/>
  <c r="E101" i="4"/>
  <c r="B102" i="4"/>
  <c r="B103" i="4"/>
  <c r="B104" i="4"/>
  <c r="B105" i="4"/>
  <c r="B106" i="4"/>
  <c r="B107" i="4"/>
  <c r="B108" i="4"/>
  <c r="B109" i="4"/>
  <c r="E109" i="4"/>
  <c r="B110" i="4"/>
  <c r="B111" i="4"/>
  <c r="B112" i="4"/>
  <c r="B113" i="4"/>
  <c r="B114" i="4"/>
  <c r="B115" i="4"/>
  <c r="B116" i="4"/>
  <c r="B117" i="4"/>
  <c r="E117" i="4"/>
  <c r="B118" i="4"/>
  <c r="B119" i="4"/>
  <c r="B120" i="4"/>
  <c r="B121" i="4"/>
  <c r="B122" i="4"/>
  <c r="B123" i="4"/>
  <c r="B124" i="4"/>
  <c r="B125" i="4"/>
  <c r="E125" i="4"/>
  <c r="B126" i="4"/>
  <c r="B127" i="4"/>
  <c r="B128" i="4"/>
  <c r="B129" i="4"/>
  <c r="B130" i="4"/>
  <c r="B131" i="4"/>
  <c r="B132" i="4"/>
  <c r="B133" i="4"/>
  <c r="E133" i="4"/>
  <c r="B134" i="4"/>
  <c r="B135" i="4"/>
  <c r="B136" i="4"/>
  <c r="B137" i="4"/>
  <c r="B138" i="4"/>
  <c r="B139" i="4"/>
  <c r="B140" i="4"/>
  <c r="B141" i="4"/>
  <c r="E141" i="4"/>
  <c r="B142" i="4"/>
  <c r="B143" i="4"/>
  <c r="B144" i="4"/>
  <c r="B145" i="4"/>
  <c r="B146" i="4"/>
  <c r="B147" i="4"/>
  <c r="B148" i="4"/>
  <c r="B149" i="4"/>
  <c r="E149" i="4"/>
  <c r="B150" i="4"/>
  <c r="B151" i="4"/>
  <c r="B152" i="4"/>
  <c r="B153" i="4"/>
  <c r="B154" i="4"/>
  <c r="B155" i="4"/>
  <c r="B156" i="4"/>
  <c r="B157" i="4"/>
  <c r="E157" i="4"/>
  <c r="B158" i="4"/>
  <c r="B159" i="4"/>
  <c r="B160" i="4"/>
  <c r="B161" i="4"/>
  <c r="B162" i="4"/>
  <c r="B163" i="4"/>
  <c r="B164" i="4"/>
  <c r="B165" i="4"/>
  <c r="E165" i="4"/>
  <c r="B166" i="4"/>
  <c r="B167" i="4"/>
  <c r="B168" i="4"/>
  <c r="B169" i="4"/>
  <c r="B170" i="4"/>
  <c r="B171" i="4"/>
  <c r="B172" i="4"/>
  <c r="B173" i="4"/>
  <c r="E173" i="4"/>
  <c r="B174" i="4"/>
  <c r="B175" i="4"/>
  <c r="B176" i="4"/>
  <c r="B177" i="4"/>
  <c r="B178" i="4"/>
  <c r="B179" i="4"/>
  <c r="B180" i="4"/>
  <c r="B181" i="4"/>
  <c r="E181" i="4"/>
  <c r="B182" i="4"/>
  <c r="B183" i="4"/>
  <c r="B184" i="4"/>
  <c r="B185" i="4"/>
  <c r="B186" i="4"/>
  <c r="B187" i="4"/>
  <c r="B188" i="4"/>
  <c r="B189" i="4"/>
  <c r="E189" i="4"/>
  <c r="B190" i="4"/>
  <c r="B191" i="4"/>
  <c r="B192" i="4"/>
  <c r="B193" i="4"/>
  <c r="B194" i="4"/>
  <c r="B195" i="4"/>
  <c r="B196" i="4"/>
  <c r="B197" i="4"/>
  <c r="E197" i="4"/>
  <c r="B198" i="4"/>
  <c r="B199" i="4"/>
  <c r="B200" i="4"/>
  <c r="B201" i="4"/>
  <c r="B202" i="4"/>
  <c r="B203" i="4"/>
  <c r="B204" i="4"/>
  <c r="B205" i="4"/>
  <c r="E205" i="4"/>
  <c r="B206" i="4"/>
  <c r="B207" i="4"/>
  <c r="B208" i="4"/>
  <c r="B209" i="4"/>
  <c r="B210" i="4"/>
  <c r="B211" i="4"/>
  <c r="B212" i="4"/>
  <c r="B213" i="4"/>
  <c r="E213" i="4"/>
  <c r="B214" i="4"/>
  <c r="B215" i="4"/>
  <c r="B216" i="4"/>
  <c r="B217" i="4"/>
  <c r="B218" i="4"/>
  <c r="B219" i="4"/>
  <c r="B220" i="4"/>
  <c r="B221" i="4"/>
  <c r="E221" i="4"/>
  <c r="B222" i="4"/>
  <c r="B223" i="4"/>
  <c r="B224" i="4"/>
  <c r="B225" i="4"/>
  <c r="B226" i="4"/>
  <c r="B227" i="4"/>
  <c r="B228" i="4"/>
  <c r="B229" i="4"/>
  <c r="E229" i="4"/>
  <c r="B230" i="4"/>
  <c r="B231" i="4"/>
  <c r="B232" i="4"/>
  <c r="B233" i="4"/>
  <c r="B234" i="4"/>
  <c r="B235" i="4"/>
  <c r="B236" i="4"/>
  <c r="B237" i="4"/>
  <c r="E237" i="4"/>
  <c r="B238" i="4"/>
  <c r="B239" i="4"/>
  <c r="B240" i="4"/>
  <c r="B241" i="4"/>
  <c r="B242" i="4"/>
  <c r="B243" i="4"/>
  <c r="B244" i="4"/>
  <c r="B245" i="4"/>
  <c r="E245" i="4"/>
  <c r="B246" i="4"/>
  <c r="B247" i="4"/>
  <c r="B248" i="4"/>
  <c r="B249" i="4"/>
  <c r="B250" i="4"/>
  <c r="B251" i="4"/>
  <c r="B252" i="4"/>
  <c r="B253" i="4"/>
  <c r="E253" i="4"/>
  <c r="B254" i="4"/>
  <c r="B255" i="4"/>
  <c r="B256" i="4"/>
  <c r="B257" i="4"/>
  <c r="B258" i="4"/>
  <c r="B259" i="4"/>
  <c r="B260" i="4"/>
  <c r="B261" i="4"/>
  <c r="E261" i="4"/>
  <c r="B262" i="4"/>
  <c r="B263" i="4"/>
  <c r="B264" i="4"/>
  <c r="B265" i="4"/>
  <c r="B266" i="4"/>
  <c r="B267" i="4"/>
  <c r="B268" i="4"/>
  <c r="B269" i="4"/>
  <c r="E269" i="4"/>
  <c r="B270" i="4"/>
  <c r="B271" i="4"/>
  <c r="B272" i="4"/>
  <c r="B273" i="4"/>
  <c r="B274" i="4"/>
  <c r="B275" i="4"/>
  <c r="B276" i="4"/>
  <c r="B277" i="4"/>
  <c r="E277" i="4"/>
  <c r="B278" i="4"/>
  <c r="B279" i="4"/>
  <c r="B280" i="4"/>
  <c r="B281" i="4"/>
  <c r="B282" i="4"/>
  <c r="B283" i="4"/>
  <c r="B284" i="4"/>
  <c r="B285" i="4"/>
  <c r="E285" i="4"/>
  <c r="B286" i="4"/>
  <c r="B287" i="4"/>
  <c r="B288" i="4"/>
  <c r="B289" i="4"/>
  <c r="B290" i="4"/>
  <c r="B291" i="4"/>
  <c r="B292" i="4"/>
  <c r="B293" i="4"/>
  <c r="E293" i="4"/>
  <c r="B294" i="4"/>
  <c r="B295" i="4"/>
  <c r="B296" i="4"/>
  <c r="B297" i="4"/>
  <c r="B298" i="4"/>
  <c r="B299" i="4"/>
  <c r="B300" i="4"/>
  <c r="B301" i="4"/>
  <c r="E301" i="4"/>
  <c r="B302" i="4"/>
  <c r="B303" i="4"/>
  <c r="B304" i="4"/>
  <c r="B305" i="4"/>
  <c r="B306" i="4"/>
  <c r="B307" i="4"/>
  <c r="B308" i="4"/>
  <c r="B309" i="4"/>
  <c r="E309" i="4"/>
  <c r="B310" i="4"/>
  <c r="B311" i="4"/>
  <c r="B312" i="4"/>
  <c r="B313" i="4"/>
  <c r="B314" i="4"/>
  <c r="B315" i="4"/>
  <c r="B316" i="4"/>
  <c r="B317" i="4"/>
  <c r="E317" i="4"/>
  <c r="B318" i="4"/>
  <c r="B319" i="4"/>
  <c r="B320" i="4"/>
  <c r="B321" i="4"/>
  <c r="B322" i="4"/>
  <c r="B323" i="4"/>
  <c r="B324" i="4"/>
  <c r="B325" i="4"/>
  <c r="E325" i="4"/>
  <c r="B326" i="4"/>
  <c r="B327" i="4"/>
  <c r="B328" i="4"/>
  <c r="B329" i="4"/>
  <c r="B330" i="4"/>
  <c r="B331" i="4"/>
  <c r="B332" i="4"/>
  <c r="B333" i="4"/>
  <c r="E333" i="4"/>
  <c r="B334" i="4"/>
  <c r="B335" i="4"/>
  <c r="B336" i="4"/>
  <c r="B337" i="4"/>
  <c r="B338" i="4"/>
  <c r="B339" i="4"/>
  <c r="B340" i="4"/>
  <c r="B341" i="4"/>
  <c r="E341" i="4"/>
  <c r="B342" i="4"/>
  <c r="B343" i="4"/>
  <c r="B344" i="4"/>
  <c r="B345" i="4"/>
  <c r="B346" i="4"/>
  <c r="B347" i="4"/>
  <c r="B348" i="4"/>
  <c r="B349" i="4"/>
  <c r="E349" i="4"/>
  <c r="B350" i="4"/>
  <c r="B351" i="4"/>
  <c r="B352" i="4"/>
  <c r="B353" i="4"/>
  <c r="B354" i="4"/>
  <c r="B355" i="4"/>
  <c r="B356" i="4"/>
  <c r="B357" i="4"/>
  <c r="E357" i="4"/>
  <c r="B358" i="4"/>
  <c r="B359" i="4"/>
  <c r="B360" i="4"/>
  <c r="B361" i="4"/>
  <c r="B362" i="4"/>
  <c r="B363" i="4"/>
  <c r="J6" i="4" l="1"/>
  <c r="K5" i="4"/>
  <c r="O3" i="4" a="1"/>
  <c r="O3" i="4" s="1"/>
  <c r="R3" i="4" s="1"/>
  <c r="E5" i="5"/>
  <c r="F5" i="5" s="1"/>
  <c r="E41" i="4"/>
  <c r="E25" i="4"/>
  <c r="E17" i="4"/>
  <c r="E9" i="4"/>
  <c r="E33" i="4"/>
  <c r="E331" i="4"/>
  <c r="E307" i="4"/>
  <c r="E283" i="4"/>
  <c r="E163" i="4"/>
  <c r="E91" i="4"/>
  <c r="E83" i="4"/>
  <c r="E75" i="4"/>
  <c r="E67" i="4"/>
  <c r="E59" i="4"/>
  <c r="E51" i="4"/>
  <c r="E43" i="4"/>
  <c r="E35" i="4"/>
  <c r="E27" i="4"/>
  <c r="E363" i="4"/>
  <c r="E355" i="4"/>
  <c r="E347" i="4"/>
  <c r="E339" i="4"/>
  <c r="E323" i="4"/>
  <c r="E315" i="4"/>
  <c r="E299" i="4"/>
  <c r="E291" i="4"/>
  <c r="E275" i="4"/>
  <c r="E267" i="4"/>
  <c r="E259" i="4"/>
  <c r="E251" i="4"/>
  <c r="E243" i="4"/>
  <c r="E235" i="4"/>
  <c r="E227" i="4"/>
  <c r="E219" i="4"/>
  <c r="E211" i="4"/>
  <c r="E203" i="4"/>
  <c r="E195" i="4"/>
  <c r="E187" i="4"/>
  <c r="E179" i="4"/>
  <c r="E171" i="4"/>
  <c r="E155" i="4"/>
  <c r="E147" i="4"/>
  <c r="E139" i="4"/>
  <c r="E131" i="4"/>
  <c r="E123" i="4"/>
  <c r="E115" i="4"/>
  <c r="E107" i="4"/>
  <c r="E99" i="4"/>
  <c r="E360" i="4"/>
  <c r="E352" i="4"/>
  <c r="E344" i="4"/>
  <c r="E336" i="4"/>
  <c r="E328" i="4"/>
  <c r="E320" i="4"/>
  <c r="E312" i="4"/>
  <c r="E304" i="4"/>
  <c r="E296" i="4"/>
  <c r="E288" i="4"/>
  <c r="E280" i="4"/>
  <c r="E272" i="4"/>
  <c r="E264" i="4"/>
  <c r="E256" i="4"/>
  <c r="E248" i="4"/>
  <c r="E240" i="4"/>
  <c r="E232" i="4"/>
  <c r="E224" i="4"/>
  <c r="E216" i="4"/>
  <c r="E208" i="4"/>
  <c r="E200" i="4"/>
  <c r="E192" i="4"/>
  <c r="E184" i="4"/>
  <c r="E56" i="4"/>
  <c r="E48" i="4"/>
  <c r="E40" i="4"/>
  <c r="E32" i="4"/>
  <c r="E24" i="4"/>
  <c r="E16" i="4"/>
  <c r="E8" i="4"/>
  <c r="E20" i="4"/>
  <c r="E12" i="4"/>
  <c r="E49" i="4"/>
  <c r="E358" i="4"/>
  <c r="E350" i="4"/>
  <c r="E342" i="4"/>
  <c r="E334" i="4"/>
  <c r="E326" i="4"/>
  <c r="E318" i="4"/>
  <c r="E310" i="4"/>
  <c r="E302" i="4"/>
  <c r="E294" i="4"/>
  <c r="E286" i="4"/>
  <c r="E278" i="4"/>
  <c r="E270" i="4"/>
  <c r="E262" i="4"/>
  <c r="E254" i="4"/>
  <c r="E246" i="4"/>
  <c r="E238" i="4"/>
  <c r="E230" i="4"/>
  <c r="E222" i="4"/>
  <c r="E214" i="4"/>
  <c r="E206" i="4"/>
  <c r="E198" i="4"/>
  <c r="E190" i="4"/>
  <c r="E182" i="4"/>
  <c r="E174" i="4"/>
  <c r="E166" i="4"/>
  <c r="E158" i="4"/>
  <c r="E150" i="4"/>
  <c r="E134" i="4"/>
  <c r="E126" i="4"/>
  <c r="E118" i="4"/>
  <c r="E110" i="4"/>
  <c r="E102" i="4"/>
  <c r="E94" i="4"/>
  <c r="E86" i="4"/>
  <c r="E78" i="4"/>
  <c r="E70" i="4"/>
  <c r="E62" i="4"/>
  <c r="E54" i="4"/>
  <c r="E46" i="4"/>
  <c r="E38" i="4"/>
  <c r="E30" i="4"/>
  <c r="E22" i="4"/>
  <c r="E14" i="4"/>
  <c r="E6" i="4"/>
  <c r="E362" i="4"/>
  <c r="E354" i="4"/>
  <c r="E346" i="4"/>
  <c r="E127" i="4"/>
  <c r="E119" i="4"/>
  <c r="E111" i="4"/>
  <c r="E103" i="4"/>
  <c r="E95" i="4"/>
  <c r="E87" i="4"/>
  <c r="E79" i="4"/>
  <c r="E71" i="4"/>
  <c r="E63" i="4"/>
  <c r="E4" i="4"/>
  <c r="E361" i="4"/>
  <c r="E353" i="4"/>
  <c r="E345" i="4"/>
  <c r="E337" i="4"/>
  <c r="E329" i="4"/>
  <c r="E321" i="4"/>
  <c r="E313" i="4"/>
  <c r="E305" i="4"/>
  <c r="E297" i="4"/>
  <c r="E289" i="4"/>
  <c r="E281" i="4"/>
  <c r="E273" i="4"/>
  <c r="E265" i="4"/>
  <c r="E257" i="4"/>
  <c r="E249" i="4"/>
  <c r="E241" i="4"/>
  <c r="E233" i="4"/>
  <c r="E225" i="4"/>
  <c r="E217" i="4"/>
  <c r="E209" i="4"/>
  <c r="E201" i="4"/>
  <c r="E193" i="4"/>
  <c r="E185" i="4"/>
  <c r="E177" i="4"/>
  <c r="E169" i="4"/>
  <c r="E161" i="4"/>
  <c r="E153" i="4"/>
  <c r="E145" i="4"/>
  <c r="E137" i="4"/>
  <c r="E129" i="4"/>
  <c r="E121" i="4"/>
  <c r="E113" i="4"/>
  <c r="E105" i="4"/>
  <c r="E97" i="4"/>
  <c r="E89" i="4"/>
  <c r="E81" i="4"/>
  <c r="E73" i="4"/>
  <c r="E65" i="4"/>
  <c r="E57" i="4"/>
  <c r="E142" i="4"/>
  <c r="E19" i="4"/>
  <c r="E11" i="4"/>
  <c r="E176" i="4"/>
  <c r="E168" i="4"/>
  <c r="E160" i="4"/>
  <c r="E152" i="4"/>
  <c r="E144" i="4"/>
  <c r="E136" i="4"/>
  <c r="E128" i="4"/>
  <c r="E120" i="4"/>
  <c r="E112" i="4"/>
  <c r="E104" i="4"/>
  <c r="E96" i="4"/>
  <c r="E88" i="4"/>
  <c r="E80" i="4"/>
  <c r="E72" i="4"/>
  <c r="E64" i="4"/>
  <c r="E21" i="4"/>
  <c r="E13" i="4"/>
  <c r="E5" i="4"/>
  <c r="E338" i="4"/>
  <c r="E330" i="4"/>
  <c r="E322" i="4"/>
  <c r="E314" i="4"/>
  <c r="E306" i="4"/>
  <c r="E298" i="4"/>
  <c r="E290" i="4"/>
  <c r="E282" i="4"/>
  <c r="E274" i="4"/>
  <c r="E266" i="4"/>
  <c r="E258" i="4"/>
  <c r="E250" i="4"/>
  <c r="E242" i="4"/>
  <c r="E234" i="4"/>
  <c r="E226" i="4"/>
  <c r="E218" i="4"/>
  <c r="E210" i="4"/>
  <c r="E202" i="4"/>
  <c r="E194" i="4"/>
  <c r="E186" i="4"/>
  <c r="E178" i="4"/>
  <c r="E170" i="4"/>
  <c r="E162" i="4"/>
  <c r="E154" i="4"/>
  <c r="E146" i="4"/>
  <c r="E138" i="4"/>
  <c r="E130" i="4"/>
  <c r="E122" i="4"/>
  <c r="E114" i="4"/>
  <c r="E106" i="4"/>
  <c r="E98" i="4"/>
  <c r="E90" i="4"/>
  <c r="E82" i="4"/>
  <c r="E74" i="4"/>
  <c r="E66" i="4"/>
  <c r="E58" i="4"/>
  <c r="E50" i="4"/>
  <c r="E42" i="4"/>
  <c r="E34" i="4"/>
  <c r="E26" i="4"/>
  <c r="E18" i="4"/>
  <c r="E10" i="4"/>
  <c r="E359" i="4"/>
  <c r="E351" i="4"/>
  <c r="E335" i="4"/>
  <c r="E327" i="4"/>
  <c r="E311" i="4"/>
  <c r="E295" i="4"/>
  <c r="E279" i="4"/>
  <c r="E255" i="4"/>
  <c r="E247" i="4"/>
  <c r="E231" i="4"/>
  <c r="E223" i="4"/>
  <c r="E215" i="4"/>
  <c r="E207" i="4"/>
  <c r="E143" i="4"/>
  <c r="E135" i="4"/>
  <c r="E55" i="4"/>
  <c r="E47" i="4"/>
  <c r="E39" i="4"/>
  <c r="E31" i="4"/>
  <c r="E23" i="4"/>
  <c r="E15" i="4"/>
  <c r="E7" i="4"/>
  <c r="E343" i="4"/>
  <c r="E319" i="4"/>
  <c r="E303" i="4"/>
  <c r="E287" i="4"/>
  <c r="E271" i="4"/>
  <c r="E263" i="4"/>
  <c r="E239" i="4"/>
  <c r="E199" i="4"/>
  <c r="E191" i="4"/>
  <c r="E183" i="4"/>
  <c r="E175" i="4"/>
  <c r="E167" i="4"/>
  <c r="E159" i="4"/>
  <c r="E151" i="4"/>
  <c r="E356" i="4"/>
  <c r="E348" i="4"/>
  <c r="E340" i="4"/>
  <c r="E332" i="4"/>
  <c r="E324" i="4"/>
  <c r="E316" i="4"/>
  <c r="E308" i="4"/>
  <c r="E300" i="4"/>
  <c r="E292" i="4"/>
  <c r="E284" i="4"/>
  <c r="E276" i="4"/>
  <c r="E268" i="4"/>
  <c r="E260" i="4"/>
  <c r="E252" i="4"/>
  <c r="E244" i="4"/>
  <c r="E236" i="4"/>
  <c r="E228" i="4"/>
  <c r="E220" i="4"/>
  <c r="E212" i="4"/>
  <c r="E204" i="4"/>
  <c r="E196" i="4"/>
  <c r="E188" i="4"/>
  <c r="E180" i="4"/>
  <c r="E172" i="4"/>
  <c r="E164" i="4"/>
  <c r="E156" i="4"/>
  <c r="E148" i="4"/>
  <c r="E140" i="4"/>
  <c r="E132" i="4"/>
  <c r="E124" i="4"/>
  <c r="E116" i="4"/>
  <c r="E108" i="4"/>
  <c r="E100" i="4"/>
  <c r="E92" i="4"/>
  <c r="E84" i="4"/>
  <c r="E76" i="4"/>
  <c r="E68" i="4"/>
  <c r="E60" i="4"/>
  <c r="E52" i="4"/>
  <c r="E44" i="4"/>
  <c r="E36" i="4"/>
  <c r="E28" i="4"/>
  <c r="J7" i="4" l="1"/>
  <c r="K6" i="4"/>
  <c r="S4" i="4" a="1"/>
  <c r="S4" i="4" s="1"/>
  <c r="E6" i="5"/>
  <c r="F6" i="5" s="1"/>
  <c r="G6" i="5"/>
  <c r="P8" i="3"/>
  <c r="P9" i="3"/>
  <c r="P10" i="3"/>
  <c r="P11" i="3"/>
  <c r="P12" i="3"/>
  <c r="P16" i="3"/>
  <c r="P17" i="3"/>
  <c r="P18" i="3"/>
  <c r="P19" i="3"/>
  <c r="P20" i="3"/>
  <c r="P24" i="3"/>
  <c r="P25" i="3"/>
  <c r="P26" i="3"/>
  <c r="P27" i="3"/>
  <c r="P28" i="3"/>
  <c r="P32" i="3"/>
  <c r="P33" i="3"/>
  <c r="P34" i="3"/>
  <c r="P35" i="3"/>
  <c r="P36" i="3"/>
  <c r="P40" i="3"/>
  <c r="P41" i="3"/>
  <c r="P42" i="3"/>
  <c r="P43" i="3"/>
  <c r="P44" i="3"/>
  <c r="P48" i="3"/>
  <c r="P49" i="3"/>
  <c r="P50" i="3"/>
  <c r="P51" i="3"/>
  <c r="P52" i="3"/>
  <c r="P56" i="3"/>
  <c r="P57" i="3"/>
  <c r="P58" i="3"/>
  <c r="P59" i="3"/>
  <c r="P60" i="3"/>
  <c r="P64" i="3"/>
  <c r="P65" i="3"/>
  <c r="P66" i="3"/>
  <c r="P67" i="3"/>
  <c r="P68" i="3"/>
  <c r="P72" i="3"/>
  <c r="P73" i="3"/>
  <c r="P74" i="3"/>
  <c r="P75" i="3"/>
  <c r="P76" i="3"/>
  <c r="P80" i="3"/>
  <c r="P81" i="3"/>
  <c r="P82" i="3"/>
  <c r="P83" i="3"/>
  <c r="P84" i="3"/>
  <c r="P88" i="3"/>
  <c r="P89" i="3"/>
  <c r="P90" i="3"/>
  <c r="P91" i="3"/>
  <c r="P92" i="3"/>
  <c r="P96" i="3"/>
  <c r="P97" i="3"/>
  <c r="P98" i="3"/>
  <c r="P99" i="3"/>
  <c r="P100" i="3"/>
  <c r="P104" i="3"/>
  <c r="P105" i="3"/>
  <c r="P106" i="3"/>
  <c r="P107" i="3"/>
  <c r="P7" i="3"/>
  <c r="O8" i="3"/>
  <c r="O9" i="3"/>
  <c r="O10" i="3"/>
  <c r="O11" i="3"/>
  <c r="O12" i="3"/>
  <c r="O13" i="3"/>
  <c r="P13" i="3" s="1"/>
  <c r="O14" i="3"/>
  <c r="P14" i="3" s="1"/>
  <c r="O15" i="3"/>
  <c r="P15" i="3" s="1"/>
  <c r="O16" i="3"/>
  <c r="O17" i="3"/>
  <c r="O18" i="3"/>
  <c r="O19" i="3"/>
  <c r="O20" i="3"/>
  <c r="O21" i="3"/>
  <c r="P21" i="3" s="1"/>
  <c r="O22" i="3"/>
  <c r="P22" i="3" s="1"/>
  <c r="O23" i="3"/>
  <c r="P23" i="3" s="1"/>
  <c r="O24" i="3"/>
  <c r="O25" i="3"/>
  <c r="O26" i="3"/>
  <c r="O27" i="3"/>
  <c r="O28" i="3"/>
  <c r="O29" i="3"/>
  <c r="P29" i="3" s="1"/>
  <c r="O30" i="3"/>
  <c r="P30" i="3" s="1"/>
  <c r="O31" i="3"/>
  <c r="P31" i="3" s="1"/>
  <c r="O32" i="3"/>
  <c r="O33" i="3"/>
  <c r="O34" i="3"/>
  <c r="O35" i="3"/>
  <c r="O36" i="3"/>
  <c r="O37" i="3"/>
  <c r="P37" i="3" s="1"/>
  <c r="O38" i="3"/>
  <c r="P38" i="3" s="1"/>
  <c r="O39" i="3"/>
  <c r="P39" i="3" s="1"/>
  <c r="O40" i="3"/>
  <c r="O41" i="3"/>
  <c r="O42" i="3"/>
  <c r="O43" i="3"/>
  <c r="O44" i="3"/>
  <c r="O45" i="3"/>
  <c r="P45" i="3" s="1"/>
  <c r="O46" i="3"/>
  <c r="P46" i="3" s="1"/>
  <c r="O47" i="3"/>
  <c r="P47" i="3" s="1"/>
  <c r="O48" i="3"/>
  <c r="O49" i="3"/>
  <c r="O50" i="3"/>
  <c r="O51" i="3"/>
  <c r="O52" i="3"/>
  <c r="O53" i="3"/>
  <c r="P53" i="3" s="1"/>
  <c r="O54" i="3"/>
  <c r="P54" i="3" s="1"/>
  <c r="O55" i="3"/>
  <c r="P55" i="3" s="1"/>
  <c r="O56" i="3"/>
  <c r="O57" i="3"/>
  <c r="O58" i="3"/>
  <c r="O59" i="3"/>
  <c r="O60" i="3"/>
  <c r="O61" i="3"/>
  <c r="P61" i="3" s="1"/>
  <c r="O62" i="3"/>
  <c r="P62" i="3" s="1"/>
  <c r="O63" i="3"/>
  <c r="P63" i="3" s="1"/>
  <c r="O64" i="3"/>
  <c r="O65" i="3"/>
  <c r="O66" i="3"/>
  <c r="O67" i="3"/>
  <c r="O68" i="3"/>
  <c r="O69" i="3"/>
  <c r="P69" i="3" s="1"/>
  <c r="O70" i="3"/>
  <c r="P70" i="3" s="1"/>
  <c r="O71" i="3"/>
  <c r="P71" i="3" s="1"/>
  <c r="O72" i="3"/>
  <c r="O73" i="3"/>
  <c r="O74" i="3"/>
  <c r="O75" i="3"/>
  <c r="O76" i="3"/>
  <c r="O77" i="3"/>
  <c r="P77" i="3" s="1"/>
  <c r="O78" i="3"/>
  <c r="P78" i="3" s="1"/>
  <c r="O79" i="3"/>
  <c r="P79" i="3" s="1"/>
  <c r="O80" i="3"/>
  <c r="O81" i="3"/>
  <c r="O82" i="3"/>
  <c r="O83" i="3"/>
  <c r="O84" i="3"/>
  <c r="O85" i="3"/>
  <c r="P85" i="3" s="1"/>
  <c r="O86" i="3"/>
  <c r="P86" i="3" s="1"/>
  <c r="O87" i="3"/>
  <c r="P87" i="3" s="1"/>
  <c r="O88" i="3"/>
  <c r="O89" i="3"/>
  <c r="O90" i="3"/>
  <c r="O91" i="3"/>
  <c r="O92" i="3"/>
  <c r="O93" i="3"/>
  <c r="P93" i="3" s="1"/>
  <c r="O94" i="3"/>
  <c r="P94" i="3" s="1"/>
  <c r="O95" i="3"/>
  <c r="P95" i="3" s="1"/>
  <c r="O96" i="3"/>
  <c r="O97" i="3"/>
  <c r="O98" i="3"/>
  <c r="O99" i="3"/>
  <c r="O100" i="3"/>
  <c r="O101" i="3"/>
  <c r="P101" i="3" s="1"/>
  <c r="O102" i="3"/>
  <c r="P102" i="3" s="1"/>
  <c r="O103" i="3"/>
  <c r="P103" i="3" s="1"/>
  <c r="O104" i="3"/>
  <c r="O105" i="3"/>
  <c r="O106" i="3"/>
  <c r="O107" i="3"/>
  <c r="O7" i="3"/>
  <c r="J8" i="4" l="1"/>
  <c r="K7" i="4"/>
  <c r="E7" i="5"/>
  <c r="F7" i="5" s="1"/>
  <c r="G7" i="5"/>
  <c r="L4" i="5" a="1"/>
  <c r="L4" i="4" a="1"/>
  <c r="B5" i="1"/>
  <c r="J9" i="4" l="1"/>
  <c r="K8" i="4"/>
  <c r="E8" i="5"/>
  <c r="F8" i="5" s="1"/>
  <c r="G8" i="5"/>
  <c r="C359" i="5"/>
  <c r="C351" i="5"/>
  <c r="C343" i="5"/>
  <c r="C335" i="5"/>
  <c r="C327" i="5"/>
  <c r="C319" i="5"/>
  <c r="C311" i="5"/>
  <c r="C303" i="5"/>
  <c r="C295" i="5"/>
  <c r="C287" i="5"/>
  <c r="C279" i="5"/>
  <c r="C271" i="5"/>
  <c r="C263" i="5"/>
  <c r="C255" i="5"/>
  <c r="C247" i="5"/>
  <c r="C239" i="5"/>
  <c r="C231" i="5"/>
  <c r="C223" i="5"/>
  <c r="C215" i="5"/>
  <c r="C207" i="5"/>
  <c r="C199" i="5"/>
  <c r="C191" i="5"/>
  <c r="C183" i="5"/>
  <c r="C175" i="5"/>
  <c r="C167" i="5"/>
  <c r="C159" i="5"/>
  <c r="C151" i="5"/>
  <c r="C143" i="5"/>
  <c r="C135" i="5"/>
  <c r="C127" i="5"/>
  <c r="C119" i="5"/>
  <c r="C111" i="5"/>
  <c r="C103" i="5"/>
  <c r="C95" i="5"/>
  <c r="C87" i="5"/>
  <c r="C79" i="5"/>
  <c r="C71" i="5"/>
  <c r="C63" i="5"/>
  <c r="C55" i="5"/>
  <c r="C47" i="5"/>
  <c r="C39" i="5"/>
  <c r="C31" i="5"/>
  <c r="C23" i="5"/>
  <c r="C15" i="5"/>
  <c r="C7" i="5"/>
  <c r="C6" i="5"/>
  <c r="C358" i="5"/>
  <c r="C350" i="5"/>
  <c r="C342" i="5"/>
  <c r="C334" i="5"/>
  <c r="C326" i="5"/>
  <c r="C318" i="5"/>
  <c r="C310" i="5"/>
  <c r="C302" i="5"/>
  <c r="C294" i="5"/>
  <c r="C286" i="5"/>
  <c r="C278" i="5"/>
  <c r="C270" i="5"/>
  <c r="C262" i="5"/>
  <c r="C254" i="5"/>
  <c r="C246" i="5"/>
  <c r="C238" i="5"/>
  <c r="C230" i="5"/>
  <c r="C222" i="5"/>
  <c r="C214" i="5"/>
  <c r="C206" i="5"/>
  <c r="C198" i="5"/>
  <c r="C190" i="5"/>
  <c r="C182" i="5"/>
  <c r="C174" i="5"/>
  <c r="C166" i="5"/>
  <c r="C158" i="5"/>
  <c r="C150" i="5"/>
  <c r="C142" i="5"/>
  <c r="C134" i="5"/>
  <c r="C126" i="5"/>
  <c r="C118" i="5"/>
  <c r="C110" i="5"/>
  <c r="C102" i="5"/>
  <c r="C94" i="5"/>
  <c r="C86" i="5"/>
  <c r="C78" i="5"/>
  <c r="C70" i="5"/>
  <c r="C62" i="5"/>
  <c r="C54" i="5"/>
  <c r="C46" i="5"/>
  <c r="C38" i="5"/>
  <c r="C30" i="5"/>
  <c r="C22" i="5"/>
  <c r="C14" i="5"/>
  <c r="C357" i="5"/>
  <c r="C349" i="5"/>
  <c r="C341" i="5"/>
  <c r="C333" i="5"/>
  <c r="C325" i="5"/>
  <c r="C317" i="5"/>
  <c r="C309" i="5"/>
  <c r="C301" i="5"/>
  <c r="C293" i="5"/>
  <c r="C285" i="5"/>
  <c r="C277" i="5"/>
  <c r="C269" i="5"/>
  <c r="C261" i="5"/>
  <c r="C253" i="5"/>
  <c r="C245" i="5"/>
  <c r="C237" i="5"/>
  <c r="C229" i="5"/>
  <c r="C221" i="5"/>
  <c r="C213" i="5"/>
  <c r="C205" i="5"/>
  <c r="C197" i="5"/>
  <c r="C189" i="5"/>
  <c r="C181" i="5"/>
  <c r="C173" i="5"/>
  <c r="C165" i="5"/>
  <c r="C157" i="5"/>
  <c r="C149" i="5"/>
  <c r="C141" i="5"/>
  <c r="C133" i="5"/>
  <c r="C125" i="5"/>
  <c r="C117" i="5"/>
  <c r="C109" i="5"/>
  <c r="C101" i="5"/>
  <c r="C93" i="5"/>
  <c r="C85" i="5"/>
  <c r="C77" i="5"/>
  <c r="C69" i="5"/>
  <c r="C61" i="5"/>
  <c r="C53" i="5"/>
  <c r="C45" i="5"/>
  <c r="C37" i="5"/>
  <c r="C29" i="5"/>
  <c r="C21" i="5"/>
  <c r="C13" i="5"/>
  <c r="C5" i="5"/>
  <c r="C360" i="5"/>
  <c r="C352" i="5"/>
  <c r="C344" i="5"/>
  <c r="C336" i="5"/>
  <c r="C328" i="5"/>
  <c r="C320" i="5"/>
  <c r="C312" i="5"/>
  <c r="C304" i="5"/>
  <c r="C296" i="5"/>
  <c r="C288" i="5"/>
  <c r="C280" i="5"/>
  <c r="C272" i="5"/>
  <c r="C264" i="5"/>
  <c r="C256" i="5"/>
  <c r="C248" i="5"/>
  <c r="C240" i="5"/>
  <c r="C232" i="5"/>
  <c r="C224" i="5"/>
  <c r="C216" i="5"/>
  <c r="C208" i="5"/>
  <c r="C200" i="5"/>
  <c r="C192" i="5"/>
  <c r="C361" i="5"/>
  <c r="C345" i="5"/>
  <c r="C329" i="5"/>
  <c r="C313" i="5"/>
  <c r="C297" i="5"/>
  <c r="C281" i="5"/>
  <c r="C265" i="5"/>
  <c r="C249" i="5"/>
  <c r="C233" i="5"/>
  <c r="C217" i="5"/>
  <c r="C201" i="5"/>
  <c r="C185" i="5"/>
  <c r="C171" i="5"/>
  <c r="C160" i="5"/>
  <c r="C146" i="5"/>
  <c r="C132" i="5"/>
  <c r="C121" i="5"/>
  <c r="C107" i="5"/>
  <c r="C96" i="5"/>
  <c r="C82" i="5"/>
  <c r="C68" i="5"/>
  <c r="C57" i="5"/>
  <c r="C43" i="5"/>
  <c r="C32" i="5"/>
  <c r="C18" i="5"/>
  <c r="C4" i="5"/>
  <c r="C354" i="5"/>
  <c r="C338" i="5"/>
  <c r="C322" i="5"/>
  <c r="C306" i="5"/>
  <c r="C290" i="5"/>
  <c r="C258" i="5"/>
  <c r="C226" i="5"/>
  <c r="C210" i="5"/>
  <c r="C194" i="5"/>
  <c r="C179" i="5"/>
  <c r="C168" i="5"/>
  <c r="C154" i="5"/>
  <c r="C140" i="5"/>
  <c r="C129" i="5"/>
  <c r="C104" i="5"/>
  <c r="C76" i="5"/>
  <c r="C65" i="5"/>
  <c r="C51" i="5"/>
  <c r="C40" i="5"/>
  <c r="C26" i="5"/>
  <c r="C337" i="5"/>
  <c r="C348" i="5"/>
  <c r="C332" i="5"/>
  <c r="C300" i="5"/>
  <c r="C284" i="5"/>
  <c r="C252" i="5"/>
  <c r="C220" i="5"/>
  <c r="C188" i="5"/>
  <c r="C163" i="5"/>
  <c r="C138" i="5"/>
  <c r="C113" i="5"/>
  <c r="C88" i="5"/>
  <c r="C60" i="5"/>
  <c r="C35" i="5"/>
  <c r="C10" i="5"/>
  <c r="C356" i="5"/>
  <c r="C340" i="5"/>
  <c r="C324" i="5"/>
  <c r="C308" i="5"/>
  <c r="C292" i="5"/>
  <c r="C276" i="5"/>
  <c r="C260" i="5"/>
  <c r="C244" i="5"/>
  <c r="C228" i="5"/>
  <c r="C212" i="5"/>
  <c r="C196" i="5"/>
  <c r="C184" i="5"/>
  <c r="C170" i="5"/>
  <c r="C156" i="5"/>
  <c r="C145" i="5"/>
  <c r="C131" i="5"/>
  <c r="C120" i="5"/>
  <c r="C106" i="5"/>
  <c r="C92" i="5"/>
  <c r="C81" i="5"/>
  <c r="C67" i="5"/>
  <c r="C56" i="5"/>
  <c r="C42" i="5"/>
  <c r="C28" i="5"/>
  <c r="C17" i="5"/>
  <c r="C3" i="5"/>
  <c r="C243" i="5"/>
  <c r="C155" i="5"/>
  <c r="C130" i="5"/>
  <c r="C116" i="5"/>
  <c r="C105" i="5"/>
  <c r="C91" i="5"/>
  <c r="C66" i="5"/>
  <c r="C52" i="5"/>
  <c r="C41" i="5"/>
  <c r="C27" i="5"/>
  <c r="C16" i="5"/>
  <c r="C242" i="5"/>
  <c r="C90" i="5"/>
  <c r="C353" i="5"/>
  <c r="C321" i="5"/>
  <c r="C305" i="5"/>
  <c r="C289" i="5"/>
  <c r="C273" i="5"/>
  <c r="C257" i="5"/>
  <c r="C241" i="5"/>
  <c r="C225" i="5"/>
  <c r="C209" i="5"/>
  <c r="C193" i="5"/>
  <c r="C178" i="5"/>
  <c r="C164" i="5"/>
  <c r="C153" i="5"/>
  <c r="C139" i="5"/>
  <c r="C128" i="5"/>
  <c r="C114" i="5"/>
  <c r="C100" i="5"/>
  <c r="C89" i="5"/>
  <c r="C75" i="5"/>
  <c r="C64" i="5"/>
  <c r="C50" i="5"/>
  <c r="C36" i="5"/>
  <c r="C25" i="5"/>
  <c r="C11" i="5"/>
  <c r="C316" i="5"/>
  <c r="C268" i="5"/>
  <c r="C236" i="5"/>
  <c r="C204" i="5"/>
  <c r="C177" i="5"/>
  <c r="C152" i="5"/>
  <c r="C124" i="5"/>
  <c r="C99" i="5"/>
  <c r="C74" i="5"/>
  <c r="C49" i="5"/>
  <c r="C24" i="5"/>
  <c r="C355" i="5"/>
  <c r="C339" i="5"/>
  <c r="C323" i="5"/>
  <c r="C307" i="5"/>
  <c r="C291" i="5"/>
  <c r="C275" i="5"/>
  <c r="C259" i="5"/>
  <c r="C227" i="5"/>
  <c r="C211" i="5"/>
  <c r="C195" i="5"/>
  <c r="C180" i="5"/>
  <c r="C169" i="5"/>
  <c r="C144" i="5"/>
  <c r="C80" i="5"/>
  <c r="C274" i="5"/>
  <c r="C115" i="5"/>
  <c r="C12" i="5"/>
  <c r="C363" i="5"/>
  <c r="C347" i="5"/>
  <c r="C331" i="5"/>
  <c r="C315" i="5"/>
  <c r="C299" i="5"/>
  <c r="C283" i="5"/>
  <c r="C267" i="5"/>
  <c r="C251" i="5"/>
  <c r="C235" i="5"/>
  <c r="C219" i="5"/>
  <c r="C203" i="5"/>
  <c r="C187" i="5"/>
  <c r="C176" i="5"/>
  <c r="C162" i="5"/>
  <c r="C148" i="5"/>
  <c r="C137" i="5"/>
  <c r="C123" i="5"/>
  <c r="C112" i="5"/>
  <c r="C98" i="5"/>
  <c r="C84" i="5"/>
  <c r="C73" i="5"/>
  <c r="C59" i="5"/>
  <c r="C48" i="5"/>
  <c r="C34" i="5"/>
  <c r="C20" i="5"/>
  <c r="C9" i="5"/>
  <c r="C282" i="5"/>
  <c r="C161" i="5"/>
  <c r="C58" i="5"/>
  <c r="C147" i="5"/>
  <c r="C136" i="5"/>
  <c r="C362" i="5"/>
  <c r="C234" i="5"/>
  <c r="C122" i="5"/>
  <c r="C19" i="5"/>
  <c r="C97" i="5"/>
  <c r="C83" i="5"/>
  <c r="C266" i="5"/>
  <c r="C44" i="5"/>
  <c r="C33" i="5"/>
  <c r="C202" i="5"/>
  <c r="C172" i="5"/>
  <c r="C250" i="5"/>
  <c r="C346" i="5"/>
  <c r="C218" i="5"/>
  <c r="C108" i="5"/>
  <c r="C8" i="5"/>
  <c r="C330" i="5"/>
  <c r="C72" i="5"/>
  <c r="C186" i="5"/>
  <c r="C298" i="5"/>
  <c r="C314" i="5"/>
  <c r="C24" i="4"/>
  <c r="C26" i="4"/>
  <c r="C28" i="4"/>
  <c r="C30" i="4"/>
  <c r="C32" i="4"/>
  <c r="C34" i="4"/>
  <c r="C36" i="4"/>
  <c r="C38" i="4"/>
  <c r="C40" i="4"/>
  <c r="C42" i="4"/>
  <c r="C44" i="4"/>
  <c r="C46" i="4"/>
  <c r="C48" i="4"/>
  <c r="C50" i="4"/>
  <c r="C52" i="4"/>
  <c r="C54" i="4"/>
  <c r="C56" i="4"/>
  <c r="C58" i="4"/>
  <c r="C60" i="4"/>
  <c r="C62" i="4"/>
  <c r="C64" i="4"/>
  <c r="C66" i="4"/>
  <c r="C68" i="4"/>
  <c r="C70" i="4"/>
  <c r="C72" i="4"/>
  <c r="C74" i="4"/>
  <c r="C76" i="4"/>
  <c r="C78" i="4"/>
  <c r="C80" i="4"/>
  <c r="C82" i="4"/>
  <c r="C84" i="4"/>
  <c r="C86" i="4"/>
  <c r="C88" i="4"/>
  <c r="C90" i="4"/>
  <c r="C92" i="4"/>
  <c r="C94" i="4"/>
  <c r="C96" i="4"/>
  <c r="C98" i="4"/>
  <c r="C100" i="4"/>
  <c r="C102" i="4"/>
  <c r="C104" i="4"/>
  <c r="C106" i="4"/>
  <c r="C108" i="4"/>
  <c r="C110" i="4"/>
  <c r="C112" i="4"/>
  <c r="C114" i="4"/>
  <c r="C116" i="4"/>
  <c r="C235" i="4"/>
  <c r="C237" i="4"/>
  <c r="C239" i="4"/>
  <c r="C320" i="4"/>
  <c r="C322" i="4"/>
  <c r="C324" i="4"/>
  <c r="C328" i="4"/>
  <c r="C330" i="4"/>
  <c r="C332" i="4"/>
  <c r="C336" i="4"/>
  <c r="C5" i="4"/>
  <c r="C7" i="4"/>
  <c r="C9" i="4"/>
  <c r="C11" i="4"/>
  <c r="C15" i="4"/>
  <c r="C17" i="4"/>
  <c r="C19" i="4"/>
  <c r="C21" i="4"/>
  <c r="C277" i="4"/>
  <c r="C287" i="4"/>
  <c r="C301" i="4"/>
  <c r="C118" i="4"/>
  <c r="C120" i="4"/>
  <c r="C122" i="4"/>
  <c r="C124" i="4"/>
  <c r="C126" i="4"/>
  <c r="C128" i="4"/>
  <c r="C130" i="4"/>
  <c r="C132" i="4"/>
  <c r="C134" i="4"/>
  <c r="C136" i="4"/>
  <c r="C138" i="4"/>
  <c r="C140" i="4"/>
  <c r="C142" i="4"/>
  <c r="C144" i="4"/>
  <c r="C241" i="4"/>
  <c r="C243" i="4"/>
  <c r="C245" i="4"/>
  <c r="C247" i="4"/>
  <c r="C249" i="4"/>
  <c r="C251" i="4"/>
  <c r="C253" i="4"/>
  <c r="C255" i="4"/>
  <c r="C326" i="4"/>
  <c r="C334" i="4"/>
  <c r="C13" i="4"/>
  <c r="C271" i="4"/>
  <c r="C275" i="4"/>
  <c r="C279" i="4"/>
  <c r="C283" i="4"/>
  <c r="C289" i="4"/>
  <c r="C291" i="4"/>
  <c r="C293" i="4"/>
  <c r="C297" i="4"/>
  <c r="C303" i="4"/>
  <c r="C305" i="4"/>
  <c r="C311" i="4"/>
  <c r="C315" i="4"/>
  <c r="C146" i="4"/>
  <c r="C148" i="4"/>
  <c r="C150" i="4"/>
  <c r="C152" i="4"/>
  <c r="C154" i="4"/>
  <c r="C156" i="4"/>
  <c r="C158" i="4"/>
  <c r="C160" i="4"/>
  <c r="C162" i="4"/>
  <c r="C164" i="4"/>
  <c r="C166" i="4"/>
  <c r="C168" i="4"/>
  <c r="C170" i="4"/>
  <c r="C172" i="4"/>
  <c r="C174" i="4"/>
  <c r="C176" i="4"/>
  <c r="C178" i="4"/>
  <c r="C180" i="4"/>
  <c r="C182" i="4"/>
  <c r="C184" i="4"/>
  <c r="C186" i="4"/>
  <c r="C188" i="4"/>
  <c r="C190" i="4"/>
  <c r="C192" i="4"/>
  <c r="C194" i="4"/>
  <c r="C196" i="4"/>
  <c r="C198" i="4"/>
  <c r="C200" i="4"/>
  <c r="C202" i="4"/>
  <c r="C204" i="4"/>
  <c r="C206" i="4"/>
  <c r="C208" i="4"/>
  <c r="C210" i="4"/>
  <c r="C212" i="4"/>
  <c r="C214" i="4"/>
  <c r="C216" i="4"/>
  <c r="C218" i="4"/>
  <c r="C220" i="4"/>
  <c r="C222" i="4"/>
  <c r="C224" i="4"/>
  <c r="C226" i="4"/>
  <c r="C228" i="4"/>
  <c r="C257" i="4"/>
  <c r="C259" i="4"/>
  <c r="C261" i="4"/>
  <c r="C263" i="4"/>
  <c r="C265" i="4"/>
  <c r="C267" i="4"/>
  <c r="C269" i="4"/>
  <c r="C338" i="4"/>
  <c r="C340" i="4"/>
  <c r="C342" i="4"/>
  <c r="C344" i="4"/>
  <c r="C346" i="4"/>
  <c r="C348" i="4"/>
  <c r="C350" i="4"/>
  <c r="C352" i="4"/>
  <c r="C354" i="4"/>
  <c r="C356" i="4"/>
  <c r="C358" i="4"/>
  <c r="C360" i="4"/>
  <c r="C362" i="4"/>
  <c r="C3" i="4"/>
  <c r="C232" i="4"/>
  <c r="C281" i="4"/>
  <c r="C295" i="4"/>
  <c r="C23" i="4"/>
  <c r="C25" i="4"/>
  <c r="C27" i="4"/>
  <c r="C29" i="4"/>
  <c r="C31" i="4"/>
  <c r="C33" i="4"/>
  <c r="C4" i="4"/>
  <c r="C6" i="4"/>
  <c r="C8" i="4"/>
  <c r="C10" i="4"/>
  <c r="C12" i="4"/>
  <c r="C14" i="4"/>
  <c r="C16" i="4"/>
  <c r="C18" i="4"/>
  <c r="C20" i="4"/>
  <c r="C22" i="4"/>
  <c r="C229" i="4"/>
  <c r="C231" i="4"/>
  <c r="C233" i="4"/>
  <c r="C272" i="4"/>
  <c r="C274" i="4"/>
  <c r="C276" i="4"/>
  <c r="C278" i="4"/>
  <c r="C280" i="4"/>
  <c r="C282" i="4"/>
  <c r="C284" i="4"/>
  <c r="C286" i="4"/>
  <c r="C288" i="4"/>
  <c r="C290" i="4"/>
  <c r="C292" i="4"/>
  <c r="C294" i="4"/>
  <c r="C296" i="4"/>
  <c r="C298" i="4"/>
  <c r="C300" i="4"/>
  <c r="C302" i="4"/>
  <c r="C304" i="4"/>
  <c r="C306" i="4"/>
  <c r="C308" i="4"/>
  <c r="C310" i="4"/>
  <c r="C312" i="4"/>
  <c r="C314" i="4"/>
  <c r="C316" i="4"/>
  <c r="C318" i="4"/>
  <c r="C230" i="4"/>
  <c r="C273" i="4"/>
  <c r="C285" i="4"/>
  <c r="C299" i="4"/>
  <c r="C309" i="4"/>
  <c r="C47" i="4"/>
  <c r="C63" i="4"/>
  <c r="C79" i="4"/>
  <c r="C95" i="4"/>
  <c r="C111" i="4"/>
  <c r="C127" i="4"/>
  <c r="C143" i="4"/>
  <c r="C145" i="4"/>
  <c r="C161" i="4"/>
  <c r="C177" i="4"/>
  <c r="C193" i="4"/>
  <c r="C209" i="4"/>
  <c r="C225" i="4"/>
  <c r="C246" i="4"/>
  <c r="C262" i="4"/>
  <c r="C327" i="4"/>
  <c r="C345" i="4"/>
  <c r="C361" i="4"/>
  <c r="C41" i="4"/>
  <c r="C57" i="4"/>
  <c r="C219" i="4"/>
  <c r="C240" i="4"/>
  <c r="C256" i="4"/>
  <c r="C39" i="4"/>
  <c r="C55" i="4"/>
  <c r="C71" i="4"/>
  <c r="C103" i="4"/>
  <c r="C119" i="4"/>
  <c r="C135" i="4"/>
  <c r="C153" i="4"/>
  <c r="C169" i="4"/>
  <c r="C201" i="4"/>
  <c r="C217" i="4"/>
  <c r="C353" i="4"/>
  <c r="C37" i="4"/>
  <c r="C53" i="4"/>
  <c r="C117" i="4"/>
  <c r="C133" i="4"/>
  <c r="C151" i="4"/>
  <c r="C183" i="4"/>
  <c r="C215" i="4"/>
  <c r="C252" i="4"/>
  <c r="C45" i="4"/>
  <c r="C61" i="4"/>
  <c r="C77" i="4"/>
  <c r="C93" i="4"/>
  <c r="C109" i="4"/>
  <c r="C125" i="4"/>
  <c r="C141" i="4"/>
  <c r="C159" i="4"/>
  <c r="C175" i="4"/>
  <c r="C191" i="4"/>
  <c r="C207" i="4"/>
  <c r="C223" i="4"/>
  <c r="C244" i="4"/>
  <c r="C260" i="4"/>
  <c r="C325" i="4"/>
  <c r="C343" i="4"/>
  <c r="C359" i="4"/>
  <c r="C155" i="4"/>
  <c r="C171" i="4"/>
  <c r="C203" i="4"/>
  <c r="C319" i="4"/>
  <c r="C355" i="4"/>
  <c r="C43" i="4"/>
  <c r="C59" i="4"/>
  <c r="C75" i="4"/>
  <c r="C91" i="4"/>
  <c r="C107" i="4"/>
  <c r="C123" i="4"/>
  <c r="C139" i="4"/>
  <c r="C157" i="4"/>
  <c r="C173" i="4"/>
  <c r="C189" i="4"/>
  <c r="C205" i="4"/>
  <c r="C221" i="4"/>
  <c r="C242" i="4"/>
  <c r="C258" i="4"/>
  <c r="C323" i="4"/>
  <c r="C341" i="4"/>
  <c r="C357" i="4"/>
  <c r="C73" i="4"/>
  <c r="C89" i="4"/>
  <c r="C105" i="4"/>
  <c r="C121" i="4"/>
  <c r="C137" i="4"/>
  <c r="C187" i="4"/>
  <c r="C321" i="4"/>
  <c r="C339" i="4"/>
  <c r="C87" i="4"/>
  <c r="C185" i="4"/>
  <c r="C238" i="4"/>
  <c r="C351" i="4"/>
  <c r="C35" i="4"/>
  <c r="C51" i="4"/>
  <c r="C67" i="4"/>
  <c r="C83" i="4"/>
  <c r="C99" i="4"/>
  <c r="C115" i="4"/>
  <c r="C131" i="4"/>
  <c r="C149" i="4"/>
  <c r="C165" i="4"/>
  <c r="C181" i="4"/>
  <c r="C197" i="4"/>
  <c r="C213" i="4"/>
  <c r="C234" i="4"/>
  <c r="C250" i="4"/>
  <c r="C266" i="4"/>
  <c r="C331" i="4"/>
  <c r="C349" i="4"/>
  <c r="C49" i="4"/>
  <c r="C65" i="4"/>
  <c r="C81" i="4"/>
  <c r="C97" i="4"/>
  <c r="C113" i="4"/>
  <c r="C129" i="4"/>
  <c r="C147" i="4"/>
  <c r="C163" i="4"/>
  <c r="C179" i="4"/>
  <c r="C195" i="4"/>
  <c r="C211" i="4"/>
  <c r="C227" i="4"/>
  <c r="C248" i="4"/>
  <c r="C264" i="4"/>
  <c r="C313" i="4"/>
  <c r="C347" i="4"/>
  <c r="C363" i="4"/>
  <c r="C254" i="4"/>
  <c r="C270" i="4"/>
  <c r="C307" i="4"/>
  <c r="C337" i="4"/>
  <c r="C69" i="4"/>
  <c r="C85" i="4"/>
  <c r="C101" i="4"/>
  <c r="C167" i="4"/>
  <c r="C199" i="4"/>
  <c r="C333" i="4"/>
  <c r="C329" i="4"/>
  <c r="C317" i="4"/>
  <c r="C335" i="4"/>
  <c r="C236" i="4"/>
  <c r="C268" i="4"/>
  <c r="M8" i="4"/>
  <c r="M5" i="4"/>
  <c r="M6" i="4"/>
  <c r="L4" i="4"/>
  <c r="M4" i="4" s="1"/>
  <c r="N4" i="4" s="1"/>
  <c r="P4" i="4" s="1"/>
  <c r="M7" i="4"/>
  <c r="L4" i="5"/>
  <c r="M4" i="5" s="1"/>
  <c r="N4" i="5" s="1"/>
  <c r="M122" i="5"/>
  <c r="M331" i="5"/>
  <c r="M123" i="5"/>
  <c r="M332" i="5"/>
  <c r="M315" i="5"/>
  <c r="M178" i="5"/>
  <c r="M251" i="5"/>
  <c r="M316" i="5"/>
  <c r="M30" i="5"/>
  <c r="M142" i="5"/>
  <c r="M284" i="5"/>
  <c r="M348" i="5"/>
  <c r="M215" i="5"/>
  <c r="M341" i="5"/>
  <c r="M240" i="5"/>
  <c r="M352" i="5"/>
  <c r="M363" i="5"/>
  <c r="M327" i="5"/>
  <c r="M263" i="5"/>
  <c r="M191" i="5"/>
  <c r="M119" i="5"/>
  <c r="M47" i="5"/>
  <c r="M166" i="5"/>
  <c r="M86" i="5"/>
  <c r="M14" i="5"/>
  <c r="M325" i="5"/>
  <c r="M308" i="5"/>
  <c r="M306" i="5"/>
  <c r="M59" i="5"/>
  <c r="M100" i="5"/>
  <c r="M226" i="5"/>
  <c r="M90" i="5"/>
  <c r="M242" i="5"/>
  <c r="M293" i="5"/>
  <c r="M172" i="5"/>
  <c r="M291" i="5"/>
  <c r="M11" i="5"/>
  <c r="M261" i="5"/>
  <c r="M292" i="5"/>
  <c r="M50" i="5"/>
  <c r="M165" i="5"/>
  <c r="M173" i="5"/>
  <c r="M53" i="5"/>
  <c r="M140" i="5"/>
  <c r="M159" i="5"/>
  <c r="M333" i="5"/>
  <c r="M358" i="5"/>
  <c r="M313" i="5"/>
  <c r="M347" i="5"/>
  <c r="M319" i="5"/>
  <c r="M255" i="5"/>
  <c r="M183" i="5"/>
  <c r="M111" i="5"/>
  <c r="M39" i="5"/>
  <c r="M275" i="5"/>
  <c r="M158" i="5"/>
  <c r="M78" i="5"/>
  <c r="M210" i="5"/>
  <c r="M301" i="5"/>
  <c r="M228" i="5"/>
  <c r="M249" i="5"/>
  <c r="M27" i="5"/>
  <c r="M19" i="5"/>
  <c r="M218" i="5"/>
  <c r="M74" i="5"/>
  <c r="M220" i="5"/>
  <c r="M245" i="5"/>
  <c r="M108" i="5"/>
  <c r="M235" i="5"/>
  <c r="M66" i="5"/>
  <c r="M259" i="5"/>
  <c r="M237" i="5"/>
  <c r="M236" i="5"/>
  <c r="M149" i="5"/>
  <c r="M157" i="5"/>
  <c r="M45" i="5"/>
  <c r="M288" i="5"/>
  <c r="M103" i="5"/>
  <c r="M285" i="5"/>
  <c r="M300" i="5"/>
  <c r="M304" i="5"/>
  <c r="M299" i="5"/>
  <c r="M311" i="5"/>
  <c r="M247" i="5"/>
  <c r="M175" i="5"/>
  <c r="M95" i="5"/>
  <c r="M31" i="5"/>
  <c r="M252" i="5"/>
  <c r="M150" i="5"/>
  <c r="M70" i="5"/>
  <c r="M163" i="5"/>
  <c r="M253" i="5"/>
  <c r="M188" i="5"/>
  <c r="M148" i="5"/>
  <c r="M361" i="5"/>
  <c r="M354" i="5"/>
  <c r="M202" i="5"/>
  <c r="M42" i="5"/>
  <c r="M180" i="5"/>
  <c r="M221" i="5"/>
  <c r="M92" i="5"/>
  <c r="M203" i="5"/>
  <c r="M362" i="5"/>
  <c r="M213" i="5"/>
  <c r="M156" i="5"/>
  <c r="M133" i="5"/>
  <c r="M141" i="5"/>
  <c r="M29" i="5"/>
  <c r="M277" i="5"/>
  <c r="M323" i="5"/>
  <c r="M117" i="5"/>
  <c r="M125" i="5"/>
  <c r="M21" i="5"/>
  <c r="M267" i="5"/>
  <c r="M283" i="5"/>
  <c r="M239" i="5"/>
  <c r="M167" i="5"/>
  <c r="M87" i="5"/>
  <c r="M23" i="5"/>
  <c r="M211" i="5"/>
  <c r="M134" i="5"/>
  <c r="M62" i="5"/>
  <c r="M116" i="5"/>
  <c r="M229" i="5"/>
  <c r="M124" i="5"/>
  <c r="M20" i="5"/>
  <c r="M305" i="5"/>
  <c r="M346" i="5"/>
  <c r="M186" i="5"/>
  <c r="M26" i="5"/>
  <c r="M146" i="5"/>
  <c r="M189" i="5"/>
  <c r="M12" i="5"/>
  <c r="M171" i="5"/>
  <c r="M179" i="5"/>
  <c r="M197" i="5"/>
  <c r="M276" i="5"/>
  <c r="M196" i="5"/>
  <c r="M269" i="5"/>
  <c r="M60" i="5"/>
  <c r="M232" i="5"/>
  <c r="M359" i="5"/>
  <c r="M295" i="5"/>
  <c r="M231" i="5"/>
  <c r="M151" i="5"/>
  <c r="M79" i="5"/>
  <c r="M15" i="5"/>
  <c r="M164" i="5"/>
  <c r="M126" i="5"/>
  <c r="M54" i="5"/>
  <c r="M82" i="5"/>
  <c r="M205" i="5"/>
  <c r="M76" i="5"/>
  <c r="M227" i="5"/>
  <c r="M243" i="5"/>
  <c r="M338" i="5"/>
  <c r="M170" i="5"/>
  <c r="M10" i="5"/>
  <c r="M99" i="5"/>
  <c r="M307" i="5"/>
  <c r="M324" i="5"/>
  <c r="M139" i="5"/>
  <c r="M234" i="5"/>
  <c r="M132" i="5"/>
  <c r="M5" i="5"/>
  <c r="M258" i="5"/>
  <c r="M330" i="5"/>
  <c r="M101" i="5"/>
  <c r="M109" i="5"/>
  <c r="M13" i="5"/>
  <c r="M296" i="5"/>
  <c r="M195" i="5"/>
  <c r="M268" i="5"/>
  <c r="M351" i="5"/>
  <c r="M287" i="5"/>
  <c r="M223" i="5"/>
  <c r="M143" i="5"/>
  <c r="M71" i="5"/>
  <c r="M7" i="5"/>
  <c r="M130" i="5"/>
  <c r="M118" i="5"/>
  <c r="M46" i="5"/>
  <c r="M35" i="5"/>
  <c r="M44" i="5"/>
  <c r="M187" i="5"/>
  <c r="M290" i="5"/>
  <c r="M154" i="5"/>
  <c r="M340" i="5"/>
  <c r="M52" i="5"/>
  <c r="M115" i="5"/>
  <c r="M107" i="5"/>
  <c r="M98" i="5"/>
  <c r="M162" i="5"/>
  <c r="M212" i="5"/>
  <c r="M266" i="5"/>
  <c r="M85" i="5"/>
  <c r="M93" i="5"/>
  <c r="M102" i="5"/>
  <c r="M114" i="5"/>
  <c r="M233" i="5"/>
  <c r="M250" i="5"/>
  <c r="M343" i="5"/>
  <c r="M279" i="5"/>
  <c r="M207" i="5"/>
  <c r="M135" i="5"/>
  <c r="M63" i="5"/>
  <c r="M83" i="5"/>
  <c r="M182" i="5"/>
  <c r="M110" i="5"/>
  <c r="M38" i="5"/>
  <c r="M349" i="5"/>
  <c r="M360" i="5"/>
  <c r="M58" i="5"/>
  <c r="M278" i="5"/>
  <c r="M335" i="5"/>
  <c r="M271" i="5"/>
  <c r="M199" i="5"/>
  <c r="M127" i="5"/>
  <c r="M55" i="5"/>
  <c r="M314" i="5"/>
  <c r="M36" i="5"/>
  <c r="M174" i="5"/>
  <c r="M94" i="5"/>
  <c r="M22" i="5"/>
  <c r="M357" i="5"/>
  <c r="M68" i="5"/>
  <c r="M91" i="5"/>
  <c r="M147" i="5"/>
  <c r="M274" i="5"/>
  <c r="M106" i="5"/>
  <c r="M260" i="5"/>
  <c r="M317" i="5"/>
  <c r="M204" i="5"/>
  <c r="M355" i="5"/>
  <c r="M43" i="5"/>
  <c r="M298" i="5"/>
  <c r="M339" i="5"/>
  <c r="M309" i="5"/>
  <c r="M356" i="5"/>
  <c r="M84" i="5"/>
  <c r="M181" i="5"/>
  <c r="M37" i="5"/>
  <c r="M61" i="5"/>
  <c r="M303" i="5"/>
  <c r="M282" i="5"/>
  <c r="M28" i="5"/>
  <c r="M51" i="5"/>
  <c r="M155" i="5"/>
  <c r="M131" i="5"/>
  <c r="M138" i="5"/>
  <c r="M219" i="5"/>
  <c r="M244" i="5"/>
  <c r="M322" i="5"/>
  <c r="M69" i="5"/>
  <c r="M18" i="5"/>
  <c r="M77" i="5"/>
  <c r="M67" i="5"/>
  <c r="M194" i="5"/>
  <c r="M75" i="5"/>
  <c r="M34" i="5"/>
  <c r="M41" i="5"/>
  <c r="M40" i="5"/>
  <c r="M160" i="5"/>
  <c r="M49" i="5"/>
  <c r="M225" i="5"/>
  <c r="M121" i="5"/>
  <c r="M198" i="5"/>
  <c r="M206" i="5"/>
  <c r="M136" i="5"/>
  <c r="M145" i="5"/>
  <c r="M238" i="5"/>
  <c r="M216" i="5"/>
  <c r="M200" i="5"/>
  <c r="M209" i="5"/>
  <c r="M326" i="5"/>
  <c r="M321" i="5"/>
  <c r="M80" i="5"/>
  <c r="M230" i="5"/>
  <c r="M97" i="5"/>
  <c r="M254" i="5"/>
  <c r="M184" i="5"/>
  <c r="M64" i="5"/>
  <c r="M137" i="5"/>
  <c r="M273" i="5"/>
  <c r="M144" i="5"/>
  <c r="M105" i="5"/>
  <c r="M104" i="5"/>
  <c r="M248" i="5"/>
  <c r="M113" i="5"/>
  <c r="M337" i="5"/>
  <c r="M185" i="5"/>
  <c r="M302" i="5"/>
  <c r="M310" i="5"/>
  <c r="M328" i="5"/>
  <c r="M112" i="5"/>
  <c r="M286" i="5"/>
  <c r="M192" i="5"/>
  <c r="M153" i="5"/>
  <c r="M246" i="5"/>
  <c r="M176" i="5"/>
  <c r="M190" i="5"/>
  <c r="M264" i="5"/>
  <c r="M272" i="5"/>
  <c r="M128" i="5"/>
  <c r="M334" i="5"/>
  <c r="M169" i="5"/>
  <c r="M168" i="5"/>
  <c r="M320" i="5"/>
  <c r="M177" i="5"/>
  <c r="M224" i="5"/>
  <c r="M56" i="5"/>
  <c r="M6" i="5"/>
  <c r="M65" i="5"/>
  <c r="M9" i="5"/>
  <c r="M280" i="5"/>
  <c r="M16" i="5"/>
  <c r="M25" i="5"/>
  <c r="M297" i="5"/>
  <c r="M329" i="5"/>
  <c r="M257" i="5"/>
  <c r="M33" i="5"/>
  <c r="M342" i="5"/>
  <c r="M48" i="5"/>
  <c r="M222" i="5"/>
  <c r="M120" i="5"/>
  <c r="M129" i="5"/>
  <c r="M193" i="5"/>
  <c r="M73" i="5"/>
  <c r="M89" i="5"/>
  <c r="M161" i="5"/>
  <c r="M217" i="5"/>
  <c r="M32" i="5"/>
  <c r="M262" i="5"/>
  <c r="M256" i="5"/>
  <c r="M270" i="5"/>
  <c r="M344" i="5"/>
  <c r="M265" i="5"/>
  <c r="M8" i="5"/>
  <c r="M318" i="5"/>
  <c r="M17" i="5"/>
  <c r="M312" i="5"/>
  <c r="M88" i="5"/>
  <c r="M294" i="5"/>
  <c r="M241" i="5"/>
  <c r="M96" i="5"/>
  <c r="M350" i="5"/>
  <c r="M336" i="5"/>
  <c r="M57" i="5"/>
  <c r="M345" i="5"/>
  <c r="M353" i="5"/>
  <c r="M72" i="5"/>
  <c r="M81" i="5"/>
  <c r="M281" i="5"/>
  <c r="M152" i="5"/>
  <c r="M289" i="5"/>
  <c r="M201" i="5"/>
  <c r="M214" i="5"/>
  <c r="M208" i="5"/>
  <c r="M24" i="5"/>
  <c r="J10" i="4" l="1"/>
  <c r="K9" i="4"/>
  <c r="M9" i="4" s="1"/>
  <c r="E9" i="5"/>
  <c r="F9" i="5" s="1"/>
  <c r="G9" i="5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Q4" i="4"/>
  <c r="R4" i="4" s="1"/>
  <c r="N5" i="4"/>
  <c r="J11" i="4" l="1"/>
  <c r="K10" i="4"/>
  <c r="M10" i="4" s="1"/>
  <c r="E10" i="5"/>
  <c r="F10" i="5" s="1"/>
  <c r="G10" i="5"/>
  <c r="Q5" i="4"/>
  <c r="P5" i="4"/>
  <c r="N6" i="4"/>
  <c r="Q4" i="5" a="1"/>
  <c r="J12" i="4" l="1"/>
  <c r="K11" i="4"/>
  <c r="M11" i="4" s="1"/>
  <c r="E11" i="5"/>
  <c r="F11" i="5" s="1"/>
  <c r="G11" i="5"/>
  <c r="R5" i="4"/>
  <c r="Q4" i="5"/>
  <c r="P6" i="4"/>
  <c r="Q6" i="4"/>
  <c r="N7" i="4"/>
  <c r="J13" i="4" l="1"/>
  <c r="K12" i="4"/>
  <c r="M12" i="4" s="1"/>
  <c r="E12" i="5"/>
  <c r="F12" i="5" s="1"/>
  <c r="G12" i="5"/>
  <c r="R6" i="4"/>
  <c r="Q7" i="4"/>
  <c r="N8" i="4"/>
  <c r="P7" i="4"/>
  <c r="J14" i="4" l="1"/>
  <c r="K13" i="4"/>
  <c r="M13" i="4" s="1"/>
  <c r="E13" i="5"/>
  <c r="F13" i="5" s="1"/>
  <c r="G13" i="5"/>
  <c r="R7" i="4"/>
  <c r="Q8" i="4"/>
  <c r="P8" i="4"/>
  <c r="N9" i="4"/>
  <c r="J15" i="4" l="1"/>
  <c r="K14" i="4"/>
  <c r="M14" i="4" s="1"/>
  <c r="E14" i="5"/>
  <c r="F14" i="5" s="1"/>
  <c r="G14" i="5"/>
  <c r="R8" i="4"/>
  <c r="Q9" i="4"/>
  <c r="N10" i="4"/>
  <c r="P9" i="4"/>
  <c r="J16" i="4" l="1"/>
  <c r="K15" i="4"/>
  <c r="M15" i="4" s="1"/>
  <c r="E15" i="5"/>
  <c r="F15" i="5" s="1"/>
  <c r="G15" i="5"/>
  <c r="R9" i="4"/>
  <c r="N11" i="4"/>
  <c r="P10" i="4"/>
  <c r="Q10" i="4"/>
  <c r="J17" i="4" l="1"/>
  <c r="K16" i="4"/>
  <c r="M16" i="4" s="1"/>
  <c r="E16" i="5"/>
  <c r="F16" i="5" s="1"/>
  <c r="G16" i="5"/>
  <c r="R10" i="4"/>
  <c r="N12" i="4"/>
  <c r="P11" i="4"/>
  <c r="Q11" i="4"/>
  <c r="J18" i="4" l="1"/>
  <c r="K17" i="4"/>
  <c r="M17" i="4" s="1"/>
  <c r="E17" i="5"/>
  <c r="F17" i="5" s="1"/>
  <c r="G17" i="5"/>
  <c r="R11" i="4"/>
  <c r="N13" i="4"/>
  <c r="Q12" i="4"/>
  <c r="P12" i="4"/>
  <c r="R12" i="4" l="1"/>
  <c r="J19" i="4"/>
  <c r="K18" i="4"/>
  <c r="M18" i="4" s="1"/>
  <c r="E18" i="5"/>
  <c r="F18" i="5" s="1"/>
  <c r="G18" i="5"/>
  <c r="Q13" i="4"/>
  <c r="N14" i="4"/>
  <c r="P13" i="4"/>
  <c r="J20" i="4" l="1"/>
  <c r="K19" i="4"/>
  <c r="M19" i="4" s="1"/>
  <c r="R13" i="4"/>
  <c r="E19" i="5"/>
  <c r="F19" i="5" s="1"/>
  <c r="G19" i="5"/>
  <c r="N15" i="4"/>
  <c r="P14" i="4"/>
  <c r="Q14" i="4"/>
  <c r="J21" i="4" l="1"/>
  <c r="K20" i="4"/>
  <c r="M20" i="4" s="1"/>
  <c r="E20" i="5"/>
  <c r="F20" i="5" s="1"/>
  <c r="G20" i="5"/>
  <c r="R14" i="4"/>
  <c r="N16" i="4"/>
  <c r="Q15" i="4"/>
  <c r="P15" i="4"/>
  <c r="J22" i="4" l="1"/>
  <c r="K21" i="4"/>
  <c r="M21" i="4" s="1"/>
  <c r="E21" i="5"/>
  <c r="F21" i="5" s="1"/>
  <c r="G21" i="5"/>
  <c r="R15" i="4"/>
  <c r="N17" i="4"/>
  <c r="P16" i="4"/>
  <c r="Q16" i="4"/>
  <c r="J23" i="4" l="1"/>
  <c r="K22" i="4"/>
  <c r="M22" i="4" s="1"/>
  <c r="E22" i="5"/>
  <c r="F22" i="5" s="1"/>
  <c r="G22" i="5"/>
  <c r="R16" i="4"/>
  <c r="N18" i="4"/>
  <c r="Q17" i="4"/>
  <c r="P17" i="4"/>
  <c r="J24" i="4" l="1"/>
  <c r="K23" i="4"/>
  <c r="M23" i="4" s="1"/>
  <c r="E23" i="5"/>
  <c r="F23" i="5" s="1"/>
  <c r="G23" i="5"/>
  <c r="R17" i="4"/>
  <c r="Q18" i="4"/>
  <c r="N19" i="4"/>
  <c r="P18" i="4"/>
  <c r="R18" i="4" l="1"/>
  <c r="J25" i="4"/>
  <c r="K24" i="4"/>
  <c r="M24" i="4" s="1"/>
  <c r="E24" i="5"/>
  <c r="F24" i="5" s="1"/>
  <c r="G24" i="5"/>
  <c r="N20" i="4"/>
  <c r="Q19" i="4"/>
  <c r="P19" i="4"/>
  <c r="R19" i="4" l="1"/>
  <c r="J26" i="4"/>
  <c r="K25" i="4"/>
  <c r="M25" i="4" s="1"/>
  <c r="E25" i="5"/>
  <c r="F25" i="5" s="1"/>
  <c r="G25" i="5"/>
  <c r="Q20" i="4"/>
  <c r="P20" i="4"/>
  <c r="N21" i="4"/>
  <c r="R20" i="4" l="1"/>
  <c r="J27" i="4"/>
  <c r="K26" i="4"/>
  <c r="M26" i="4" s="1"/>
  <c r="E26" i="5"/>
  <c r="F26" i="5" s="1"/>
  <c r="G26" i="5"/>
  <c r="N22" i="4"/>
  <c r="Q21" i="4"/>
  <c r="P21" i="4"/>
  <c r="R21" i="4" l="1"/>
  <c r="J28" i="4"/>
  <c r="K27" i="4"/>
  <c r="M27" i="4" s="1"/>
  <c r="E27" i="5"/>
  <c r="F27" i="5" s="1"/>
  <c r="G27" i="5"/>
  <c r="N23" i="4"/>
  <c r="Q22" i="4"/>
  <c r="P22" i="4"/>
  <c r="R22" i="4" l="1"/>
  <c r="J29" i="4"/>
  <c r="K28" i="4"/>
  <c r="M28" i="4" s="1"/>
  <c r="E28" i="5"/>
  <c r="F28" i="5" s="1"/>
  <c r="G28" i="5"/>
  <c r="N24" i="4"/>
  <c r="Q23" i="4"/>
  <c r="P23" i="4"/>
  <c r="J30" i="4" l="1"/>
  <c r="K29" i="4"/>
  <c r="M29" i="4" s="1"/>
  <c r="R23" i="4"/>
  <c r="E29" i="5"/>
  <c r="F29" i="5" s="1"/>
  <c r="G29" i="5"/>
  <c r="N25" i="4"/>
  <c r="P24" i="4"/>
  <c r="Q24" i="4"/>
  <c r="J31" i="4" l="1"/>
  <c r="K30" i="4"/>
  <c r="M30" i="4" s="1"/>
  <c r="E30" i="5"/>
  <c r="F30" i="5" s="1"/>
  <c r="G30" i="5"/>
  <c r="R24" i="4"/>
  <c r="N26" i="4"/>
  <c r="P25" i="4"/>
  <c r="Q25" i="4"/>
  <c r="J32" i="4" l="1"/>
  <c r="K31" i="4"/>
  <c r="M31" i="4" s="1"/>
  <c r="E31" i="5"/>
  <c r="F31" i="5" s="1"/>
  <c r="G31" i="5"/>
  <c r="R25" i="4"/>
  <c r="N27" i="4"/>
  <c r="P26" i="4"/>
  <c r="Q26" i="4"/>
  <c r="J33" i="4" l="1"/>
  <c r="K32" i="4"/>
  <c r="M32" i="4" s="1"/>
  <c r="E32" i="5"/>
  <c r="F32" i="5" s="1"/>
  <c r="G32" i="5"/>
  <c r="R26" i="4"/>
  <c r="P27" i="4"/>
  <c r="Q27" i="4"/>
  <c r="N28" i="4"/>
  <c r="J34" i="4" l="1"/>
  <c r="K33" i="4"/>
  <c r="M33" i="4" s="1"/>
  <c r="E33" i="5"/>
  <c r="F33" i="5" s="1"/>
  <c r="G33" i="5"/>
  <c r="R27" i="4"/>
  <c r="N29" i="4"/>
  <c r="Q28" i="4"/>
  <c r="P28" i="4"/>
  <c r="R28" i="4" l="1"/>
  <c r="J35" i="4"/>
  <c r="K34" i="4"/>
  <c r="M34" i="4" s="1"/>
  <c r="E34" i="5"/>
  <c r="F34" i="5" s="1"/>
  <c r="G34" i="5"/>
  <c r="N30" i="4"/>
  <c r="Q29" i="4"/>
  <c r="P29" i="4"/>
  <c r="R29" i="4" l="1"/>
  <c r="J36" i="4"/>
  <c r="K35" i="4"/>
  <c r="M35" i="4" s="1"/>
  <c r="E35" i="5"/>
  <c r="F35" i="5" s="1"/>
  <c r="G35" i="5"/>
  <c r="P30" i="4"/>
  <c r="N31" i="4"/>
  <c r="Q30" i="4"/>
  <c r="J37" i="4" l="1"/>
  <c r="K36" i="4"/>
  <c r="M36" i="4" s="1"/>
  <c r="E36" i="5"/>
  <c r="F36" i="5" s="1"/>
  <c r="G36" i="5"/>
  <c r="R30" i="4"/>
  <c r="N32" i="4"/>
  <c r="Q31" i="4"/>
  <c r="P31" i="4"/>
  <c r="R31" i="4" l="1"/>
  <c r="J38" i="4"/>
  <c r="K37" i="4"/>
  <c r="M37" i="4" s="1"/>
  <c r="E37" i="5"/>
  <c r="F37" i="5" s="1"/>
  <c r="G37" i="5"/>
  <c r="N33" i="4"/>
  <c r="Q32" i="4"/>
  <c r="P32" i="4"/>
  <c r="J39" i="4" l="1"/>
  <c r="K38" i="4"/>
  <c r="M38" i="4" s="1"/>
  <c r="R32" i="4"/>
  <c r="E38" i="5"/>
  <c r="F38" i="5" s="1"/>
  <c r="G38" i="5"/>
  <c r="N34" i="4"/>
  <c r="Q33" i="4"/>
  <c r="P33" i="4"/>
  <c r="R33" i="4" l="1"/>
  <c r="J40" i="4"/>
  <c r="K39" i="4"/>
  <c r="M39" i="4" s="1"/>
  <c r="E39" i="5"/>
  <c r="F39" i="5" s="1"/>
  <c r="G39" i="5"/>
  <c r="N35" i="4"/>
  <c r="Q34" i="4"/>
  <c r="P34" i="4"/>
  <c r="J41" i="4" l="1"/>
  <c r="K40" i="4"/>
  <c r="M40" i="4" s="1"/>
  <c r="R34" i="4"/>
  <c r="E40" i="5"/>
  <c r="F40" i="5" s="1"/>
  <c r="G40" i="5"/>
  <c r="N36" i="4"/>
  <c r="P35" i="4"/>
  <c r="Q35" i="4"/>
  <c r="J42" i="4" l="1"/>
  <c r="K41" i="4"/>
  <c r="M41" i="4" s="1"/>
  <c r="E41" i="5"/>
  <c r="F41" i="5" s="1"/>
  <c r="G41" i="5"/>
  <c r="R35" i="4"/>
  <c r="Q36" i="4"/>
  <c r="N37" i="4"/>
  <c r="P36" i="4"/>
  <c r="R36" i="4" l="1"/>
  <c r="J43" i="4"/>
  <c r="K42" i="4"/>
  <c r="M42" i="4" s="1"/>
  <c r="E42" i="5"/>
  <c r="F42" i="5" s="1"/>
  <c r="G42" i="5"/>
  <c r="N38" i="4"/>
  <c r="P37" i="4"/>
  <c r="Q37" i="4"/>
  <c r="J44" i="4" l="1"/>
  <c r="K43" i="4"/>
  <c r="M43" i="4" s="1"/>
  <c r="E43" i="5"/>
  <c r="F43" i="5" s="1"/>
  <c r="G43" i="5"/>
  <c r="R37" i="4"/>
  <c r="P38" i="4"/>
  <c r="N39" i="4"/>
  <c r="Q38" i="4"/>
  <c r="J45" i="4" l="1"/>
  <c r="K44" i="4"/>
  <c r="M44" i="4" s="1"/>
  <c r="E44" i="5"/>
  <c r="F44" i="5" s="1"/>
  <c r="G44" i="5"/>
  <c r="R38" i="4"/>
  <c r="N40" i="4"/>
  <c r="Q39" i="4"/>
  <c r="P39" i="4"/>
  <c r="R39" i="4" l="1"/>
  <c r="J46" i="4"/>
  <c r="K45" i="4"/>
  <c r="M45" i="4" s="1"/>
  <c r="E45" i="5"/>
  <c r="F45" i="5" s="1"/>
  <c r="G45" i="5"/>
  <c r="N41" i="4"/>
  <c r="Q40" i="4"/>
  <c r="P40" i="4"/>
  <c r="J47" i="4" l="1"/>
  <c r="K46" i="4"/>
  <c r="M46" i="4" s="1"/>
  <c r="R40" i="4"/>
  <c r="E46" i="5"/>
  <c r="F46" i="5" s="1"/>
  <c r="G46" i="5"/>
  <c r="Q41" i="4"/>
  <c r="N42" i="4"/>
  <c r="P41" i="4"/>
  <c r="J48" i="4" l="1"/>
  <c r="K47" i="4"/>
  <c r="M47" i="4" s="1"/>
  <c r="R41" i="4"/>
  <c r="E47" i="5"/>
  <c r="F47" i="5" s="1"/>
  <c r="G47" i="5"/>
  <c r="N43" i="4"/>
  <c r="P42" i="4"/>
  <c r="Q42" i="4"/>
  <c r="J49" i="4" l="1"/>
  <c r="K48" i="4"/>
  <c r="M48" i="4" s="1"/>
  <c r="E48" i="5"/>
  <c r="F48" i="5" s="1"/>
  <c r="G48" i="5"/>
  <c r="R42" i="4"/>
  <c r="N44" i="4"/>
  <c r="P43" i="4"/>
  <c r="Q43" i="4"/>
  <c r="J50" i="4" l="1"/>
  <c r="K49" i="4"/>
  <c r="M49" i="4" s="1"/>
  <c r="E49" i="5"/>
  <c r="F49" i="5" s="1"/>
  <c r="G49" i="5"/>
  <c r="R43" i="4"/>
  <c r="N45" i="4"/>
  <c r="Q44" i="4"/>
  <c r="P44" i="4"/>
  <c r="R44" i="4" l="1"/>
  <c r="J51" i="4"/>
  <c r="K50" i="4"/>
  <c r="M50" i="4" s="1"/>
  <c r="E50" i="5"/>
  <c r="F50" i="5" s="1"/>
  <c r="G50" i="5"/>
  <c r="Q45" i="4"/>
  <c r="N46" i="4"/>
  <c r="P45" i="4"/>
  <c r="R45" i="4" l="1"/>
  <c r="J52" i="4"/>
  <c r="K51" i="4"/>
  <c r="M51" i="4" s="1"/>
  <c r="E51" i="5"/>
  <c r="F51" i="5" s="1"/>
  <c r="G51" i="5"/>
  <c r="Q46" i="4"/>
  <c r="N47" i="4"/>
  <c r="P46" i="4"/>
  <c r="J53" i="4" l="1"/>
  <c r="K52" i="4"/>
  <c r="M52" i="4" s="1"/>
  <c r="R46" i="4"/>
  <c r="E52" i="5"/>
  <c r="F52" i="5" s="1"/>
  <c r="G52" i="5"/>
  <c r="N48" i="4"/>
  <c r="Q47" i="4"/>
  <c r="P47" i="4"/>
  <c r="J54" i="4" l="1"/>
  <c r="K53" i="4"/>
  <c r="M53" i="4" s="1"/>
  <c r="R47" i="4"/>
  <c r="E53" i="5"/>
  <c r="F53" i="5" s="1"/>
  <c r="G53" i="5"/>
  <c r="N49" i="4"/>
  <c r="Q48" i="4"/>
  <c r="P48" i="4"/>
  <c r="R48" i="4" l="1"/>
  <c r="J55" i="4"/>
  <c r="K54" i="4"/>
  <c r="M54" i="4" s="1"/>
  <c r="E54" i="5"/>
  <c r="F54" i="5" s="1"/>
  <c r="G54" i="5"/>
  <c r="N50" i="4"/>
  <c r="P49" i="4"/>
  <c r="Q49" i="4"/>
  <c r="J56" i="4" l="1"/>
  <c r="K55" i="4"/>
  <c r="M55" i="4" s="1"/>
  <c r="E55" i="5"/>
  <c r="F55" i="5" s="1"/>
  <c r="G55" i="5"/>
  <c r="R49" i="4"/>
  <c r="N51" i="4"/>
  <c r="P50" i="4"/>
  <c r="Q50" i="4"/>
  <c r="J57" i="4" l="1"/>
  <c r="K56" i="4"/>
  <c r="M56" i="4" s="1"/>
  <c r="E56" i="5"/>
  <c r="F56" i="5" s="1"/>
  <c r="G56" i="5"/>
  <c r="R50" i="4"/>
  <c r="Q51" i="4"/>
  <c r="N52" i="4"/>
  <c r="P51" i="4"/>
  <c r="R51" i="4" l="1"/>
  <c r="J58" i="4"/>
  <c r="K57" i="4"/>
  <c r="M57" i="4" s="1"/>
  <c r="E57" i="5"/>
  <c r="F57" i="5" s="1"/>
  <c r="G57" i="5"/>
  <c r="Q52" i="4"/>
  <c r="N53" i="4"/>
  <c r="P52" i="4"/>
  <c r="R52" i="4" l="1"/>
  <c r="J59" i="4"/>
  <c r="K58" i="4"/>
  <c r="M58" i="4" s="1"/>
  <c r="E58" i="5"/>
  <c r="F58" i="5" s="1"/>
  <c r="G58" i="5"/>
  <c r="P53" i="4"/>
  <c r="N54" i="4"/>
  <c r="Q53" i="4"/>
  <c r="J60" i="4" l="1"/>
  <c r="K59" i="4"/>
  <c r="M59" i="4" s="1"/>
  <c r="E59" i="5"/>
  <c r="F59" i="5" s="1"/>
  <c r="G59" i="5"/>
  <c r="R53" i="4"/>
  <c r="N55" i="4"/>
  <c r="Q54" i="4"/>
  <c r="P54" i="4"/>
  <c r="R54" i="4" l="1"/>
  <c r="J61" i="4"/>
  <c r="K60" i="4"/>
  <c r="M60" i="4" s="1"/>
  <c r="E60" i="5"/>
  <c r="F60" i="5" s="1"/>
  <c r="G60" i="5"/>
  <c r="N56" i="4"/>
  <c r="P55" i="4"/>
  <c r="Q55" i="4"/>
  <c r="J62" i="4" l="1"/>
  <c r="K61" i="4"/>
  <c r="M61" i="4" s="1"/>
  <c r="E61" i="5"/>
  <c r="F61" i="5" s="1"/>
  <c r="G61" i="5"/>
  <c r="R55" i="4"/>
  <c r="N57" i="4"/>
  <c r="Q56" i="4"/>
  <c r="P56" i="4"/>
  <c r="R56" i="4" l="1"/>
  <c r="J63" i="4"/>
  <c r="K62" i="4"/>
  <c r="M62" i="4" s="1"/>
  <c r="E62" i="5"/>
  <c r="F62" i="5" s="1"/>
  <c r="G62" i="5"/>
  <c r="N58" i="4"/>
  <c r="P57" i="4"/>
  <c r="Q57" i="4"/>
  <c r="J64" i="4" l="1"/>
  <c r="K63" i="4"/>
  <c r="M63" i="4" s="1"/>
  <c r="G63" i="5"/>
  <c r="E63" i="5"/>
  <c r="F63" i="5" s="1"/>
  <c r="R57" i="4"/>
  <c r="N59" i="4"/>
  <c r="Q58" i="4"/>
  <c r="P58" i="4"/>
  <c r="R58" i="4" l="1"/>
  <c r="J65" i="4"/>
  <c r="K64" i="4"/>
  <c r="M64" i="4" s="1"/>
  <c r="E64" i="5"/>
  <c r="F64" i="5" s="1"/>
  <c r="P59" i="4"/>
  <c r="N60" i="4"/>
  <c r="Q59" i="4"/>
  <c r="J66" i="4" l="1"/>
  <c r="K65" i="4"/>
  <c r="M65" i="4" s="1"/>
  <c r="E65" i="5"/>
  <c r="F65" i="5" s="1"/>
  <c r="R59" i="4"/>
  <c r="N61" i="4"/>
  <c r="Q60" i="4"/>
  <c r="P60" i="4"/>
  <c r="J67" i="4" l="1"/>
  <c r="K66" i="4"/>
  <c r="M66" i="4" s="1"/>
  <c r="E66" i="5"/>
  <c r="F66" i="5" s="1"/>
  <c r="R60" i="4"/>
  <c r="N62" i="4"/>
  <c r="Q61" i="4"/>
  <c r="P61" i="4"/>
  <c r="R61" i="4" l="1"/>
  <c r="J68" i="4"/>
  <c r="K67" i="4"/>
  <c r="M67" i="4" s="1"/>
  <c r="E67" i="5"/>
  <c r="F67" i="5" s="1"/>
  <c r="N63" i="4"/>
  <c r="Q62" i="4"/>
  <c r="P62" i="4"/>
  <c r="R62" i="4" l="1"/>
  <c r="J69" i="4"/>
  <c r="K68" i="4"/>
  <c r="M68" i="4" s="1"/>
  <c r="E68" i="5"/>
  <c r="F68" i="5" s="1"/>
  <c r="N64" i="4"/>
  <c r="P63" i="4"/>
  <c r="Q63" i="4"/>
  <c r="J70" i="4" l="1"/>
  <c r="K69" i="4"/>
  <c r="M69" i="4" s="1"/>
  <c r="E69" i="5"/>
  <c r="F69" i="5" s="1"/>
  <c r="R63" i="4"/>
  <c r="Q64" i="4"/>
  <c r="N65" i="4"/>
  <c r="P64" i="4"/>
  <c r="R64" i="4" l="1"/>
  <c r="J71" i="4"/>
  <c r="K70" i="4"/>
  <c r="M70" i="4" s="1"/>
  <c r="E70" i="5"/>
  <c r="F70" i="5" s="1"/>
  <c r="N66" i="4"/>
  <c r="P65" i="4"/>
  <c r="Q65" i="4"/>
  <c r="J72" i="4" l="1"/>
  <c r="K71" i="4"/>
  <c r="M71" i="4" s="1"/>
  <c r="E71" i="5"/>
  <c r="F71" i="5" s="1"/>
  <c r="R65" i="4"/>
  <c r="N67" i="4"/>
  <c r="P66" i="4"/>
  <c r="Q66" i="4"/>
  <c r="J73" i="4" l="1"/>
  <c r="K72" i="4"/>
  <c r="M72" i="4" s="1"/>
  <c r="E72" i="5"/>
  <c r="F72" i="5" s="1"/>
  <c r="R66" i="4"/>
  <c r="N68" i="4"/>
  <c r="Q67" i="4"/>
  <c r="P67" i="4"/>
  <c r="J74" i="4" l="1"/>
  <c r="K73" i="4"/>
  <c r="M73" i="4" s="1"/>
  <c r="E73" i="5"/>
  <c r="F73" i="5" s="1"/>
  <c r="R67" i="4"/>
  <c r="Q68" i="4"/>
  <c r="N69" i="4"/>
  <c r="P68" i="4"/>
  <c r="R68" i="4" s="1"/>
  <c r="J75" i="4" l="1"/>
  <c r="K74" i="4"/>
  <c r="M74" i="4" s="1"/>
  <c r="E74" i="5"/>
  <c r="F74" i="5" s="1"/>
  <c r="P69" i="4"/>
  <c r="N70" i="4"/>
  <c r="Q69" i="4"/>
  <c r="J76" i="4" l="1"/>
  <c r="K75" i="4"/>
  <c r="M75" i="4" s="1"/>
  <c r="E75" i="5"/>
  <c r="F75" i="5" s="1"/>
  <c r="R69" i="4"/>
  <c r="Q70" i="4"/>
  <c r="N71" i="4"/>
  <c r="P70" i="4"/>
  <c r="J77" i="4" l="1"/>
  <c r="K76" i="4"/>
  <c r="M76" i="4" s="1"/>
  <c r="R70" i="4"/>
  <c r="E76" i="5"/>
  <c r="F76" i="5" s="1"/>
  <c r="N72" i="4"/>
  <c r="P71" i="4"/>
  <c r="Q71" i="4"/>
  <c r="J78" i="4" l="1"/>
  <c r="K77" i="4"/>
  <c r="M77" i="4" s="1"/>
  <c r="E77" i="5"/>
  <c r="F77" i="5" s="1"/>
  <c r="R71" i="4"/>
  <c r="N73" i="4"/>
  <c r="P72" i="4"/>
  <c r="Q72" i="4"/>
  <c r="J79" i="4" l="1"/>
  <c r="K78" i="4"/>
  <c r="M78" i="4" s="1"/>
  <c r="E78" i="5"/>
  <c r="F78" i="5" s="1"/>
  <c r="R72" i="4"/>
  <c r="N74" i="4"/>
  <c r="Q73" i="4"/>
  <c r="P73" i="4"/>
  <c r="J80" i="4" l="1"/>
  <c r="K79" i="4"/>
  <c r="M79" i="4" s="1"/>
  <c r="R73" i="4"/>
  <c r="E79" i="5"/>
  <c r="F79" i="5" s="1"/>
  <c r="N75" i="4"/>
  <c r="P74" i="4"/>
  <c r="Q74" i="4"/>
  <c r="J81" i="4" l="1"/>
  <c r="K80" i="4"/>
  <c r="M80" i="4" s="1"/>
  <c r="E80" i="5"/>
  <c r="F80" i="5" s="1"/>
  <c r="R74" i="4"/>
  <c r="N76" i="4"/>
  <c r="Q75" i="4"/>
  <c r="P75" i="4"/>
  <c r="J82" i="4" l="1"/>
  <c r="K81" i="4"/>
  <c r="M81" i="4" s="1"/>
  <c r="R75" i="4"/>
  <c r="E81" i="5"/>
  <c r="F81" i="5" s="1"/>
  <c r="N77" i="4"/>
  <c r="Q76" i="4"/>
  <c r="P76" i="4"/>
  <c r="J83" i="4" l="1"/>
  <c r="K82" i="4"/>
  <c r="M82" i="4" s="1"/>
  <c r="E82" i="5"/>
  <c r="F82" i="5" s="1"/>
  <c r="R76" i="4"/>
  <c r="P77" i="4"/>
  <c r="N78" i="4"/>
  <c r="Q77" i="4"/>
  <c r="J84" i="4" l="1"/>
  <c r="K83" i="4"/>
  <c r="M83" i="4" s="1"/>
  <c r="E83" i="5"/>
  <c r="F83" i="5" s="1"/>
  <c r="R77" i="4"/>
  <c r="N79" i="4"/>
  <c r="Q78" i="4"/>
  <c r="P78" i="4"/>
  <c r="R78" i="4" l="1"/>
  <c r="J85" i="4"/>
  <c r="K84" i="4"/>
  <c r="M84" i="4" s="1"/>
  <c r="E84" i="5"/>
  <c r="F84" i="5" s="1"/>
  <c r="N80" i="4"/>
  <c r="Q79" i="4"/>
  <c r="P79" i="4"/>
  <c r="R79" i="4" l="1"/>
  <c r="J86" i="4"/>
  <c r="K85" i="4"/>
  <c r="M85" i="4" s="1"/>
  <c r="E85" i="5"/>
  <c r="F85" i="5" s="1"/>
  <c r="N81" i="4"/>
  <c r="Q80" i="4"/>
  <c r="P80" i="4"/>
  <c r="R80" i="4" l="1"/>
  <c r="J87" i="4"/>
  <c r="K86" i="4"/>
  <c r="M86" i="4" s="1"/>
  <c r="E86" i="5"/>
  <c r="F86" i="5" s="1"/>
  <c r="Q81" i="4"/>
  <c r="N82" i="4"/>
  <c r="P81" i="4"/>
  <c r="R81" i="4" l="1"/>
  <c r="J88" i="4"/>
  <c r="K87" i="4"/>
  <c r="M87" i="4" s="1"/>
  <c r="E87" i="5"/>
  <c r="F87" i="5" s="1"/>
  <c r="N83" i="4"/>
  <c r="P82" i="4"/>
  <c r="Q82" i="4"/>
  <c r="J89" i="4" l="1"/>
  <c r="K88" i="4"/>
  <c r="M88" i="4" s="1"/>
  <c r="E88" i="5"/>
  <c r="F88" i="5" s="1"/>
  <c r="R82" i="4"/>
  <c r="N84" i="4"/>
  <c r="P83" i="4"/>
  <c r="Q83" i="4"/>
  <c r="J90" i="4" l="1"/>
  <c r="K89" i="4"/>
  <c r="M89" i="4" s="1"/>
  <c r="E89" i="5"/>
  <c r="F89" i="5" s="1"/>
  <c r="R83" i="4"/>
  <c r="N85" i="4"/>
  <c r="P84" i="4"/>
  <c r="Q84" i="4"/>
  <c r="J91" i="4" l="1"/>
  <c r="K90" i="4"/>
  <c r="M90" i="4" s="1"/>
  <c r="E90" i="5"/>
  <c r="F90" i="5" s="1"/>
  <c r="R84" i="4"/>
  <c r="N86" i="4"/>
  <c r="Q85" i="4"/>
  <c r="P85" i="4"/>
  <c r="R85" i="4" l="1"/>
  <c r="J92" i="4"/>
  <c r="K91" i="4"/>
  <c r="M91" i="4" s="1"/>
  <c r="E91" i="5"/>
  <c r="F91" i="5" s="1"/>
  <c r="N87" i="4"/>
  <c r="Q86" i="4"/>
  <c r="P86" i="4"/>
  <c r="R86" i="4" l="1"/>
  <c r="J93" i="4"/>
  <c r="K92" i="4"/>
  <c r="M92" i="4" s="1"/>
  <c r="E92" i="5"/>
  <c r="F92" i="5" s="1"/>
  <c r="N88" i="4"/>
  <c r="P87" i="4"/>
  <c r="Q87" i="4"/>
  <c r="J94" i="4" l="1"/>
  <c r="K93" i="4"/>
  <c r="M93" i="4" s="1"/>
  <c r="E93" i="5"/>
  <c r="F93" i="5" s="1"/>
  <c r="R87" i="4"/>
  <c r="N89" i="4"/>
  <c r="Q88" i="4"/>
  <c r="P88" i="4"/>
  <c r="R88" i="4" l="1"/>
  <c r="J95" i="4"/>
  <c r="K94" i="4"/>
  <c r="M94" i="4" s="1"/>
  <c r="E94" i="5"/>
  <c r="F94" i="5" s="1"/>
  <c r="Q89" i="4"/>
  <c r="N90" i="4"/>
  <c r="P89" i="4"/>
  <c r="R89" i="4" l="1"/>
  <c r="J96" i="4"/>
  <c r="K95" i="4"/>
  <c r="M95" i="4" s="1"/>
  <c r="E95" i="5"/>
  <c r="F95" i="5" s="1"/>
  <c r="N91" i="4"/>
  <c r="P90" i="4"/>
  <c r="Q90" i="4"/>
  <c r="J97" i="4" l="1"/>
  <c r="K96" i="4"/>
  <c r="M96" i="4" s="1"/>
  <c r="E96" i="5"/>
  <c r="F96" i="5" s="1"/>
  <c r="R90" i="4"/>
  <c r="N92" i="4"/>
  <c r="P91" i="4"/>
  <c r="Q91" i="4"/>
  <c r="J98" i="4" l="1"/>
  <c r="K97" i="4"/>
  <c r="M97" i="4" s="1"/>
  <c r="E97" i="5"/>
  <c r="F97" i="5" s="1"/>
  <c r="R91" i="4"/>
  <c r="N93" i="4"/>
  <c r="Q92" i="4"/>
  <c r="P92" i="4"/>
  <c r="R92" i="4" l="1"/>
  <c r="J99" i="4"/>
  <c r="K98" i="4"/>
  <c r="M98" i="4" s="1"/>
  <c r="E98" i="5"/>
  <c r="F98" i="5" s="1"/>
  <c r="Q93" i="4"/>
  <c r="N94" i="4"/>
  <c r="P93" i="4"/>
  <c r="R93" i="4" l="1"/>
  <c r="J100" i="4"/>
  <c r="K99" i="4"/>
  <c r="M99" i="4" s="1"/>
  <c r="E99" i="5"/>
  <c r="F99" i="5" s="1"/>
  <c r="Q94" i="4"/>
  <c r="N95" i="4"/>
  <c r="P94" i="4"/>
  <c r="R94" i="4" l="1"/>
  <c r="J101" i="4"/>
  <c r="K100" i="4"/>
  <c r="M100" i="4" s="1"/>
  <c r="E100" i="5"/>
  <c r="F100" i="5" s="1"/>
  <c r="N96" i="4"/>
  <c r="P95" i="4"/>
  <c r="Q95" i="4"/>
  <c r="J102" i="4" l="1"/>
  <c r="K101" i="4"/>
  <c r="M101" i="4" s="1"/>
  <c r="E101" i="5"/>
  <c r="F101" i="5" s="1"/>
  <c r="R95" i="4"/>
  <c r="N97" i="4"/>
  <c r="Q96" i="4"/>
  <c r="P96" i="4"/>
  <c r="R96" i="4" l="1"/>
  <c r="J103" i="4"/>
  <c r="K102" i="4"/>
  <c r="M102" i="4" s="1"/>
  <c r="E102" i="5"/>
  <c r="F102" i="5" s="1"/>
  <c r="Q97" i="4"/>
  <c r="N98" i="4"/>
  <c r="P97" i="4"/>
  <c r="J104" i="4" l="1"/>
  <c r="K103" i="4"/>
  <c r="M103" i="4" s="1"/>
  <c r="E103" i="5"/>
  <c r="F103" i="5" s="1"/>
  <c r="R97" i="4"/>
  <c r="N99" i="4"/>
  <c r="P98" i="4"/>
  <c r="Q98" i="4"/>
  <c r="J105" i="4" l="1"/>
  <c r="K104" i="4"/>
  <c r="M104" i="4" s="1"/>
  <c r="E104" i="5"/>
  <c r="F104" i="5" s="1"/>
  <c r="R98" i="4"/>
  <c r="N100" i="4"/>
  <c r="Q99" i="4"/>
  <c r="P99" i="4"/>
  <c r="R99" i="4" l="1"/>
  <c r="J106" i="4"/>
  <c r="K105" i="4"/>
  <c r="M105" i="4" s="1"/>
  <c r="E105" i="5"/>
  <c r="F105" i="5" s="1"/>
  <c r="N101" i="4"/>
  <c r="Q100" i="4"/>
  <c r="P100" i="4"/>
  <c r="R100" i="4" l="1"/>
  <c r="J107" i="4"/>
  <c r="K106" i="4"/>
  <c r="M106" i="4" s="1"/>
  <c r="E106" i="5"/>
  <c r="F106" i="5" s="1"/>
  <c r="N102" i="4"/>
  <c r="Q101" i="4"/>
  <c r="P101" i="4"/>
  <c r="R101" i="4" l="1"/>
  <c r="J108" i="4"/>
  <c r="K107" i="4"/>
  <c r="M107" i="4" s="1"/>
  <c r="E107" i="5"/>
  <c r="F107" i="5" s="1"/>
  <c r="N103" i="4"/>
  <c r="Q102" i="4"/>
  <c r="P102" i="4"/>
  <c r="R102" i="4" l="1"/>
  <c r="J109" i="4"/>
  <c r="K108" i="4"/>
  <c r="M108" i="4" s="1"/>
  <c r="E108" i="5"/>
  <c r="F108" i="5" s="1"/>
  <c r="Q103" i="4"/>
  <c r="N104" i="4"/>
  <c r="P103" i="4"/>
  <c r="R103" i="4" l="1"/>
  <c r="J110" i="4"/>
  <c r="K109" i="4"/>
  <c r="M109" i="4" s="1"/>
  <c r="E109" i="5"/>
  <c r="F109" i="5" s="1"/>
  <c r="N105" i="4"/>
  <c r="Q104" i="4"/>
  <c r="P104" i="4"/>
  <c r="R104" i="4" l="1"/>
  <c r="J111" i="4"/>
  <c r="K110" i="4"/>
  <c r="M110" i="4" s="1"/>
  <c r="E110" i="5"/>
  <c r="F110" i="5" s="1"/>
  <c r="N106" i="4"/>
  <c r="Q105" i="4"/>
  <c r="P105" i="4"/>
  <c r="R105" i="4" l="1"/>
  <c r="J112" i="4"/>
  <c r="K111" i="4"/>
  <c r="M111" i="4" s="1"/>
  <c r="E111" i="5"/>
  <c r="F111" i="5" s="1"/>
  <c r="N107" i="4"/>
  <c r="Q106" i="4"/>
  <c r="P106" i="4"/>
  <c r="R106" i="4" l="1"/>
  <c r="J113" i="4"/>
  <c r="K112" i="4"/>
  <c r="M112" i="4" s="1"/>
  <c r="E112" i="5"/>
  <c r="F112" i="5" s="1"/>
  <c r="N108" i="4"/>
  <c r="Q107" i="4"/>
  <c r="P107" i="4"/>
  <c r="R107" i="4" l="1"/>
  <c r="J114" i="4"/>
  <c r="K113" i="4"/>
  <c r="M113" i="4" s="1"/>
  <c r="E113" i="5"/>
  <c r="F113" i="5" s="1"/>
  <c r="N109" i="4"/>
  <c r="Q108" i="4"/>
  <c r="P108" i="4"/>
  <c r="J115" i="4" l="1"/>
  <c r="K114" i="4"/>
  <c r="M114" i="4" s="1"/>
  <c r="R108" i="4"/>
  <c r="E114" i="5"/>
  <c r="F114" i="5" s="1"/>
  <c r="N110" i="4"/>
  <c r="Q109" i="4"/>
  <c r="P109" i="4"/>
  <c r="J116" i="4" l="1"/>
  <c r="K115" i="4"/>
  <c r="M115" i="4" s="1"/>
  <c r="R109" i="4"/>
  <c r="E115" i="5"/>
  <c r="F115" i="5" s="1"/>
  <c r="N111" i="4"/>
  <c r="Q110" i="4"/>
  <c r="P110" i="4"/>
  <c r="R110" i="4" l="1"/>
  <c r="J117" i="4"/>
  <c r="K116" i="4"/>
  <c r="M116" i="4" s="1"/>
  <c r="E116" i="5"/>
  <c r="F116" i="5" s="1"/>
  <c r="P111" i="4"/>
  <c r="N112" i="4"/>
  <c r="Q111" i="4"/>
  <c r="J118" i="4" l="1"/>
  <c r="K117" i="4"/>
  <c r="M117" i="4" s="1"/>
  <c r="E117" i="5"/>
  <c r="F117" i="5" s="1"/>
  <c r="R111" i="4"/>
  <c r="Q112" i="4"/>
  <c r="N113" i="4"/>
  <c r="P112" i="4"/>
  <c r="R112" i="4" l="1"/>
  <c r="J119" i="4"/>
  <c r="K118" i="4"/>
  <c r="M118" i="4" s="1"/>
  <c r="E118" i="5"/>
  <c r="F118" i="5" s="1"/>
  <c r="N114" i="4"/>
  <c r="P113" i="4"/>
  <c r="Q113" i="4"/>
  <c r="J120" i="4" l="1"/>
  <c r="K119" i="4"/>
  <c r="M119" i="4" s="1"/>
  <c r="E119" i="5"/>
  <c r="F119" i="5" s="1"/>
  <c r="R113" i="4"/>
  <c r="N115" i="4"/>
  <c r="P114" i="4"/>
  <c r="Q114" i="4"/>
  <c r="J121" i="4" l="1"/>
  <c r="K120" i="4"/>
  <c r="M120" i="4" s="1"/>
  <c r="E120" i="5"/>
  <c r="F120" i="5" s="1"/>
  <c r="R114" i="4"/>
  <c r="N116" i="4"/>
  <c r="P115" i="4"/>
  <c r="Q115" i="4"/>
  <c r="J122" i="4" l="1"/>
  <c r="K121" i="4"/>
  <c r="M121" i="4" s="1"/>
  <c r="E121" i="5"/>
  <c r="F121" i="5" s="1"/>
  <c r="R115" i="4"/>
  <c r="N117" i="4"/>
  <c r="Q116" i="4"/>
  <c r="P116" i="4"/>
  <c r="R116" i="4" l="1"/>
  <c r="J123" i="4"/>
  <c r="K122" i="4"/>
  <c r="M122" i="4" s="1"/>
  <c r="E122" i="5"/>
  <c r="F122" i="5" s="1"/>
  <c r="N118" i="4"/>
  <c r="P117" i="4"/>
  <c r="Q117" i="4"/>
  <c r="J124" i="4" l="1"/>
  <c r="K123" i="4"/>
  <c r="M123" i="4" s="1"/>
  <c r="E123" i="5"/>
  <c r="F123" i="5" s="1"/>
  <c r="R117" i="4"/>
  <c r="Q118" i="4"/>
  <c r="N119" i="4"/>
  <c r="P118" i="4"/>
  <c r="R118" i="4" l="1"/>
  <c r="J125" i="4"/>
  <c r="K124" i="4"/>
  <c r="M124" i="4" s="1"/>
  <c r="E124" i="5"/>
  <c r="F124" i="5" s="1"/>
  <c r="N120" i="4"/>
  <c r="P119" i="4"/>
  <c r="Q119" i="4"/>
  <c r="J126" i="4" l="1"/>
  <c r="K125" i="4"/>
  <c r="M125" i="4" s="1"/>
  <c r="E125" i="5"/>
  <c r="F125" i="5" s="1"/>
  <c r="R119" i="4"/>
  <c r="N121" i="4"/>
  <c r="P120" i="4"/>
  <c r="Q120" i="4"/>
  <c r="J127" i="4" l="1"/>
  <c r="K126" i="4"/>
  <c r="M126" i="4" s="1"/>
  <c r="E126" i="5"/>
  <c r="F126" i="5" s="1"/>
  <c r="R120" i="4"/>
  <c r="N122" i="4"/>
  <c r="P121" i="4"/>
  <c r="Q121" i="4"/>
  <c r="J128" i="4" l="1"/>
  <c r="K127" i="4"/>
  <c r="M127" i="4" s="1"/>
  <c r="E127" i="5"/>
  <c r="F127" i="5" s="1"/>
  <c r="R121" i="4"/>
  <c r="Q122" i="4"/>
  <c r="N123" i="4"/>
  <c r="P122" i="4"/>
  <c r="R122" i="4" l="1"/>
  <c r="J129" i="4"/>
  <c r="K128" i="4"/>
  <c r="M128" i="4" s="1"/>
  <c r="E128" i="5"/>
  <c r="F128" i="5" s="1"/>
  <c r="P123" i="4"/>
  <c r="Q123" i="4"/>
  <c r="N124" i="4"/>
  <c r="J130" i="4" l="1"/>
  <c r="K129" i="4"/>
  <c r="M129" i="4" s="1"/>
  <c r="E129" i="5"/>
  <c r="F129" i="5" s="1"/>
  <c r="R123" i="4"/>
  <c r="Q124" i="4"/>
  <c r="N125" i="4"/>
  <c r="P124" i="4"/>
  <c r="R124" i="4" l="1"/>
  <c r="J131" i="4"/>
  <c r="K130" i="4"/>
  <c r="M130" i="4" s="1"/>
  <c r="E130" i="5"/>
  <c r="F130" i="5" s="1"/>
  <c r="N126" i="4"/>
  <c r="Q125" i="4"/>
  <c r="P125" i="4"/>
  <c r="R125" i="4" l="1"/>
  <c r="J132" i="4"/>
  <c r="K131" i="4"/>
  <c r="M131" i="4" s="1"/>
  <c r="E131" i="5"/>
  <c r="F131" i="5" s="1"/>
  <c r="N127" i="4"/>
  <c r="P126" i="4"/>
  <c r="Q126" i="4"/>
  <c r="J133" i="4" l="1"/>
  <c r="K132" i="4"/>
  <c r="M132" i="4" s="1"/>
  <c r="E132" i="5"/>
  <c r="F132" i="5" s="1"/>
  <c r="R126" i="4"/>
  <c r="Q127" i="4"/>
  <c r="N128" i="4"/>
  <c r="P127" i="4"/>
  <c r="R127" i="4" l="1"/>
  <c r="J134" i="4"/>
  <c r="K133" i="4"/>
  <c r="M133" i="4" s="1"/>
  <c r="E133" i="5"/>
  <c r="F133" i="5" s="1"/>
  <c r="N129" i="4"/>
  <c r="P128" i="4"/>
  <c r="Q128" i="4"/>
  <c r="J135" i="4" l="1"/>
  <c r="K134" i="4"/>
  <c r="M134" i="4" s="1"/>
  <c r="E134" i="5"/>
  <c r="F134" i="5" s="1"/>
  <c r="R128" i="4"/>
  <c r="N130" i="4"/>
  <c r="Q129" i="4"/>
  <c r="P129" i="4"/>
  <c r="J136" i="4" l="1"/>
  <c r="K135" i="4"/>
  <c r="M135" i="4" s="1"/>
  <c r="R129" i="4"/>
  <c r="E135" i="5"/>
  <c r="F135" i="5" s="1"/>
  <c r="N131" i="4"/>
  <c r="Q130" i="4"/>
  <c r="P130" i="4"/>
  <c r="R130" i="4" l="1"/>
  <c r="J137" i="4"/>
  <c r="K136" i="4"/>
  <c r="M136" i="4" s="1"/>
  <c r="E136" i="5"/>
  <c r="F136" i="5" s="1"/>
  <c r="P131" i="4"/>
  <c r="N132" i="4"/>
  <c r="Q131" i="4"/>
  <c r="J138" i="4" l="1"/>
  <c r="K137" i="4"/>
  <c r="M137" i="4" s="1"/>
  <c r="E137" i="5"/>
  <c r="F137" i="5" s="1"/>
  <c r="R131" i="4"/>
  <c r="N133" i="4"/>
  <c r="Q132" i="4"/>
  <c r="P132" i="4"/>
  <c r="J139" i="4" l="1"/>
  <c r="K138" i="4"/>
  <c r="M138" i="4" s="1"/>
  <c r="E138" i="5"/>
  <c r="F138" i="5" s="1"/>
  <c r="R132" i="4"/>
  <c r="N134" i="4"/>
  <c r="Q133" i="4"/>
  <c r="P133" i="4"/>
  <c r="R133" i="4" l="1"/>
  <c r="J140" i="4"/>
  <c r="K139" i="4"/>
  <c r="M139" i="4" s="1"/>
  <c r="E139" i="5"/>
  <c r="F139" i="5" s="1"/>
  <c r="N135" i="4"/>
  <c r="Q134" i="4"/>
  <c r="P134" i="4"/>
  <c r="J141" i="4" l="1"/>
  <c r="K140" i="4"/>
  <c r="M140" i="4" s="1"/>
  <c r="R134" i="4"/>
  <c r="E140" i="5"/>
  <c r="F140" i="5" s="1"/>
  <c r="N136" i="4"/>
  <c r="P135" i="4"/>
  <c r="Q135" i="4"/>
  <c r="J142" i="4" l="1"/>
  <c r="K141" i="4"/>
  <c r="M141" i="4" s="1"/>
  <c r="E141" i="5"/>
  <c r="F141" i="5" s="1"/>
  <c r="R135" i="4"/>
  <c r="N137" i="4"/>
  <c r="P136" i="4"/>
  <c r="Q136" i="4"/>
  <c r="J143" i="4" l="1"/>
  <c r="K142" i="4"/>
  <c r="M142" i="4" s="1"/>
  <c r="E142" i="5"/>
  <c r="F142" i="5" s="1"/>
  <c r="R136" i="4"/>
  <c r="N138" i="4"/>
  <c r="Q137" i="4"/>
  <c r="P137" i="4"/>
  <c r="R137" i="4" l="1"/>
  <c r="J144" i="4"/>
  <c r="K143" i="4"/>
  <c r="M143" i="4" s="1"/>
  <c r="E143" i="5"/>
  <c r="F143" i="5" s="1"/>
  <c r="P138" i="4"/>
  <c r="N139" i="4"/>
  <c r="Q138" i="4"/>
  <c r="J145" i="4" l="1"/>
  <c r="K144" i="4"/>
  <c r="M144" i="4" s="1"/>
  <c r="E144" i="5"/>
  <c r="F144" i="5" s="1"/>
  <c r="R138" i="4"/>
  <c r="N140" i="4"/>
  <c r="P139" i="4"/>
  <c r="Q139" i="4"/>
  <c r="J146" i="4" l="1"/>
  <c r="K145" i="4"/>
  <c r="M145" i="4" s="1"/>
  <c r="E145" i="5"/>
  <c r="F145" i="5" s="1"/>
  <c r="R139" i="4"/>
  <c r="N141" i="4"/>
  <c r="Q140" i="4"/>
  <c r="P140" i="4"/>
  <c r="R140" i="4" l="1"/>
  <c r="J147" i="4"/>
  <c r="K146" i="4"/>
  <c r="M146" i="4" s="1"/>
  <c r="E146" i="5"/>
  <c r="F146" i="5" s="1"/>
  <c r="N142" i="4"/>
  <c r="Q141" i="4"/>
  <c r="P141" i="4"/>
  <c r="R141" i="4" l="1"/>
  <c r="J148" i="4"/>
  <c r="K147" i="4"/>
  <c r="M147" i="4" s="1"/>
  <c r="E147" i="5"/>
  <c r="F147" i="5" s="1"/>
  <c r="N143" i="4"/>
  <c r="P142" i="4"/>
  <c r="Q142" i="4"/>
  <c r="J149" i="4" l="1"/>
  <c r="K148" i="4"/>
  <c r="M148" i="4" s="1"/>
  <c r="E148" i="5"/>
  <c r="F148" i="5" s="1"/>
  <c r="R142" i="4"/>
  <c r="N144" i="4"/>
  <c r="Q143" i="4"/>
  <c r="P143" i="4"/>
  <c r="R143" i="4" l="1"/>
  <c r="J150" i="4"/>
  <c r="K149" i="4"/>
  <c r="M149" i="4" s="1"/>
  <c r="E149" i="5"/>
  <c r="F149" i="5" s="1"/>
  <c r="N145" i="4"/>
  <c r="Q144" i="4"/>
  <c r="P144" i="4"/>
  <c r="R144" i="4" l="1"/>
  <c r="J151" i="4"/>
  <c r="K150" i="4"/>
  <c r="M150" i="4" s="1"/>
  <c r="E150" i="5"/>
  <c r="F150" i="5" s="1"/>
  <c r="N146" i="4"/>
  <c r="P145" i="4"/>
  <c r="Q145" i="4"/>
  <c r="J152" i="4" l="1"/>
  <c r="K151" i="4"/>
  <c r="M151" i="4" s="1"/>
  <c r="E151" i="5"/>
  <c r="F151" i="5" s="1"/>
  <c r="R145" i="4"/>
  <c r="N147" i="4"/>
  <c r="Q146" i="4"/>
  <c r="P146" i="4"/>
  <c r="R146" i="4" l="1"/>
  <c r="J153" i="4"/>
  <c r="K152" i="4"/>
  <c r="M152" i="4" s="1"/>
  <c r="E152" i="5"/>
  <c r="F152" i="5" s="1"/>
  <c r="P147" i="4"/>
  <c r="Q147" i="4"/>
  <c r="N148" i="4"/>
  <c r="J154" i="4" l="1"/>
  <c r="K153" i="4"/>
  <c r="M153" i="4" s="1"/>
  <c r="E153" i="5"/>
  <c r="F153" i="5" s="1"/>
  <c r="R147" i="4"/>
  <c r="N149" i="4"/>
  <c r="P148" i="4"/>
  <c r="Q148" i="4"/>
  <c r="J155" i="4" l="1"/>
  <c r="K154" i="4"/>
  <c r="M154" i="4" s="1"/>
  <c r="E154" i="5"/>
  <c r="F154" i="5" s="1"/>
  <c r="R148" i="4"/>
  <c r="Q149" i="4"/>
  <c r="P149" i="4"/>
  <c r="N150" i="4"/>
  <c r="J156" i="4" l="1"/>
  <c r="K155" i="4"/>
  <c r="M155" i="4" s="1"/>
  <c r="R149" i="4"/>
  <c r="E155" i="5"/>
  <c r="F155" i="5" s="1"/>
  <c r="N151" i="4"/>
  <c r="Q150" i="4"/>
  <c r="P150" i="4"/>
  <c r="J157" i="4" l="1"/>
  <c r="K156" i="4"/>
  <c r="M156" i="4" s="1"/>
  <c r="R150" i="4"/>
  <c r="E156" i="5"/>
  <c r="F156" i="5" s="1"/>
  <c r="N152" i="4"/>
  <c r="Q151" i="4"/>
  <c r="P151" i="4"/>
  <c r="R151" i="4" l="1"/>
  <c r="J158" i="4"/>
  <c r="K157" i="4"/>
  <c r="M157" i="4" s="1"/>
  <c r="E157" i="5"/>
  <c r="F157" i="5" s="1"/>
  <c r="Q152" i="4"/>
  <c r="N153" i="4"/>
  <c r="P152" i="4"/>
  <c r="R152" i="4" l="1"/>
  <c r="J159" i="4"/>
  <c r="K158" i="4"/>
  <c r="M158" i="4" s="1"/>
  <c r="E158" i="5"/>
  <c r="F158" i="5" s="1"/>
  <c r="P153" i="4"/>
  <c r="N154" i="4"/>
  <c r="Q153" i="4"/>
  <c r="J160" i="4" l="1"/>
  <c r="K159" i="4"/>
  <c r="M159" i="4" s="1"/>
  <c r="E159" i="5"/>
  <c r="F159" i="5" s="1"/>
  <c r="R153" i="4"/>
  <c r="N155" i="4"/>
  <c r="Q154" i="4"/>
  <c r="P154" i="4"/>
  <c r="J161" i="4" l="1"/>
  <c r="K160" i="4"/>
  <c r="M160" i="4" s="1"/>
  <c r="R154" i="4"/>
  <c r="E160" i="5"/>
  <c r="F160" i="5" s="1"/>
  <c r="Q155" i="4"/>
  <c r="N156" i="4"/>
  <c r="P155" i="4"/>
  <c r="R155" i="4" l="1"/>
  <c r="J162" i="4"/>
  <c r="K161" i="4"/>
  <c r="M161" i="4" s="1"/>
  <c r="E161" i="5"/>
  <c r="F161" i="5" s="1"/>
  <c r="N157" i="4"/>
  <c r="Q156" i="4"/>
  <c r="P156" i="4"/>
  <c r="J163" i="4" l="1"/>
  <c r="K162" i="4"/>
  <c r="M162" i="4" s="1"/>
  <c r="R156" i="4"/>
  <c r="E162" i="5"/>
  <c r="F162" i="5" s="1"/>
  <c r="N158" i="4"/>
  <c r="P157" i="4"/>
  <c r="Q157" i="4"/>
  <c r="J164" i="4" l="1"/>
  <c r="K163" i="4"/>
  <c r="M163" i="4" s="1"/>
  <c r="E163" i="5"/>
  <c r="F163" i="5" s="1"/>
  <c r="R157" i="4"/>
  <c r="N159" i="4"/>
  <c r="Q158" i="4"/>
  <c r="P158" i="4"/>
  <c r="R158" i="4" l="1"/>
  <c r="J165" i="4"/>
  <c r="K164" i="4"/>
  <c r="M164" i="4" s="1"/>
  <c r="E164" i="5"/>
  <c r="F164" i="5" s="1"/>
  <c r="N160" i="4"/>
  <c r="P159" i="4"/>
  <c r="Q159" i="4"/>
  <c r="J166" i="4" l="1"/>
  <c r="K165" i="4"/>
  <c r="M165" i="4" s="1"/>
  <c r="E165" i="5"/>
  <c r="F165" i="5" s="1"/>
  <c r="R159" i="4"/>
  <c r="Q160" i="4"/>
  <c r="N161" i="4"/>
  <c r="P160" i="4"/>
  <c r="R160" i="4" l="1"/>
  <c r="J167" i="4"/>
  <c r="K166" i="4"/>
  <c r="M166" i="4" s="1"/>
  <c r="E166" i="5"/>
  <c r="F166" i="5" s="1"/>
  <c r="P161" i="4"/>
  <c r="N162" i="4"/>
  <c r="Q161" i="4"/>
  <c r="J168" i="4" l="1"/>
  <c r="K167" i="4"/>
  <c r="M167" i="4" s="1"/>
  <c r="E167" i="5"/>
  <c r="F167" i="5" s="1"/>
  <c r="R161" i="4"/>
  <c r="N163" i="4"/>
  <c r="Q162" i="4"/>
  <c r="P162" i="4"/>
  <c r="J169" i="4" l="1"/>
  <c r="K168" i="4"/>
  <c r="M168" i="4" s="1"/>
  <c r="E168" i="5"/>
  <c r="F168" i="5" s="1"/>
  <c r="R162" i="4"/>
  <c r="N164" i="4"/>
  <c r="P163" i="4"/>
  <c r="Q163" i="4"/>
  <c r="J170" i="4" l="1"/>
  <c r="K169" i="4"/>
  <c r="M169" i="4" s="1"/>
  <c r="E169" i="5"/>
  <c r="F169" i="5" s="1"/>
  <c r="R163" i="4"/>
  <c r="N165" i="4"/>
  <c r="P164" i="4"/>
  <c r="Q164" i="4"/>
  <c r="J171" i="4" l="1"/>
  <c r="K170" i="4"/>
  <c r="M170" i="4" s="1"/>
  <c r="E170" i="5"/>
  <c r="F170" i="5" s="1"/>
  <c r="R164" i="4"/>
  <c r="N166" i="4"/>
  <c r="P165" i="4"/>
  <c r="Q165" i="4"/>
  <c r="J172" i="4" l="1"/>
  <c r="K171" i="4"/>
  <c r="M171" i="4" s="1"/>
  <c r="E171" i="5"/>
  <c r="F171" i="5" s="1"/>
  <c r="R165" i="4"/>
  <c r="Q166" i="4"/>
  <c r="P166" i="4"/>
  <c r="N167" i="4"/>
  <c r="R166" i="4" l="1"/>
  <c r="J173" i="4"/>
  <c r="K172" i="4"/>
  <c r="M172" i="4" s="1"/>
  <c r="E172" i="5"/>
  <c r="F172" i="5" s="1"/>
  <c r="N168" i="4"/>
  <c r="Q167" i="4"/>
  <c r="P167" i="4"/>
  <c r="R167" i="4" l="1"/>
  <c r="J174" i="4"/>
  <c r="K173" i="4"/>
  <c r="M173" i="4" s="1"/>
  <c r="E173" i="5"/>
  <c r="F173" i="5" s="1"/>
  <c r="P168" i="4"/>
  <c r="N169" i="4"/>
  <c r="Q168" i="4"/>
  <c r="J175" i="4" l="1"/>
  <c r="K174" i="4"/>
  <c r="M174" i="4" s="1"/>
  <c r="E174" i="5"/>
  <c r="F174" i="5" s="1"/>
  <c r="R168" i="4"/>
  <c r="N170" i="4"/>
  <c r="P169" i="4"/>
  <c r="Q169" i="4"/>
  <c r="J176" i="4" l="1"/>
  <c r="K175" i="4"/>
  <c r="M175" i="4" s="1"/>
  <c r="E175" i="5"/>
  <c r="F175" i="5" s="1"/>
  <c r="R169" i="4"/>
  <c r="Q170" i="4"/>
  <c r="N171" i="4"/>
  <c r="P170" i="4"/>
  <c r="J177" i="4" l="1"/>
  <c r="K176" i="4"/>
  <c r="M176" i="4" s="1"/>
  <c r="R170" i="4"/>
  <c r="E176" i="5"/>
  <c r="F176" i="5" s="1"/>
  <c r="P171" i="4"/>
  <c r="N172" i="4"/>
  <c r="Q171" i="4"/>
  <c r="J178" i="4" l="1"/>
  <c r="K177" i="4"/>
  <c r="M177" i="4" s="1"/>
  <c r="E177" i="5"/>
  <c r="F177" i="5" s="1"/>
  <c r="R171" i="4"/>
  <c r="N173" i="4"/>
  <c r="Q172" i="4"/>
  <c r="P172" i="4"/>
  <c r="R172" i="4" l="1"/>
  <c r="J179" i="4"/>
  <c r="K178" i="4"/>
  <c r="M178" i="4" s="1"/>
  <c r="E178" i="5"/>
  <c r="F178" i="5" s="1"/>
  <c r="N174" i="4"/>
  <c r="P173" i="4"/>
  <c r="Q173" i="4"/>
  <c r="J180" i="4" l="1"/>
  <c r="K179" i="4"/>
  <c r="M179" i="4" s="1"/>
  <c r="E179" i="5"/>
  <c r="F179" i="5" s="1"/>
  <c r="R173" i="4"/>
  <c r="N175" i="4"/>
  <c r="P174" i="4"/>
  <c r="Q174" i="4"/>
  <c r="J181" i="4" l="1"/>
  <c r="K180" i="4"/>
  <c r="M180" i="4" s="1"/>
  <c r="E180" i="5"/>
  <c r="F180" i="5" s="1"/>
  <c r="R174" i="4"/>
  <c r="N176" i="4"/>
  <c r="Q175" i="4"/>
  <c r="P175" i="4"/>
  <c r="J182" i="4" l="1"/>
  <c r="K181" i="4"/>
  <c r="M181" i="4" s="1"/>
  <c r="E181" i="5"/>
  <c r="F181" i="5" s="1"/>
  <c r="R175" i="4"/>
  <c r="N177" i="4"/>
  <c r="Q176" i="4"/>
  <c r="P176" i="4"/>
  <c r="R176" i="4" l="1"/>
  <c r="J183" i="4"/>
  <c r="K182" i="4"/>
  <c r="M182" i="4" s="1"/>
  <c r="E182" i="5"/>
  <c r="F182" i="5" s="1"/>
  <c r="N178" i="4"/>
  <c r="P177" i="4"/>
  <c r="Q177" i="4"/>
  <c r="J184" i="4" l="1"/>
  <c r="K183" i="4"/>
  <c r="M183" i="4" s="1"/>
  <c r="E183" i="5"/>
  <c r="F183" i="5" s="1"/>
  <c r="R177" i="4"/>
  <c r="N179" i="4"/>
  <c r="Q178" i="4"/>
  <c r="P178" i="4"/>
  <c r="R178" i="4" l="1"/>
  <c r="J185" i="4"/>
  <c r="K184" i="4"/>
  <c r="M184" i="4" s="1"/>
  <c r="E184" i="5"/>
  <c r="F184" i="5" s="1"/>
  <c r="N180" i="4"/>
  <c r="P179" i="4"/>
  <c r="Q179" i="4"/>
  <c r="J186" i="4" l="1"/>
  <c r="K185" i="4"/>
  <c r="M185" i="4" s="1"/>
  <c r="E185" i="5"/>
  <c r="F185" i="5" s="1"/>
  <c r="R179" i="4"/>
  <c r="Q180" i="4"/>
  <c r="N181" i="4"/>
  <c r="P180" i="4"/>
  <c r="R180" i="4" l="1"/>
  <c r="J187" i="4"/>
  <c r="K186" i="4"/>
  <c r="M186" i="4" s="1"/>
  <c r="E186" i="5"/>
  <c r="F186" i="5" s="1"/>
  <c r="N182" i="4"/>
  <c r="P181" i="4"/>
  <c r="Q181" i="4"/>
  <c r="J188" i="4" l="1"/>
  <c r="K187" i="4"/>
  <c r="M187" i="4" s="1"/>
  <c r="E187" i="5"/>
  <c r="F187" i="5" s="1"/>
  <c r="R181" i="4"/>
  <c r="N183" i="4"/>
  <c r="Q182" i="4"/>
  <c r="P182" i="4"/>
  <c r="R182" i="4" l="1"/>
  <c r="J189" i="4"/>
  <c r="K188" i="4"/>
  <c r="M188" i="4" s="1"/>
  <c r="E188" i="5"/>
  <c r="F188" i="5" s="1"/>
  <c r="N184" i="4"/>
  <c r="P183" i="4"/>
  <c r="Q183" i="4"/>
  <c r="J190" i="4" l="1"/>
  <c r="K189" i="4"/>
  <c r="M189" i="4" s="1"/>
  <c r="E189" i="5"/>
  <c r="F189" i="5" s="1"/>
  <c r="R183" i="4"/>
  <c r="N185" i="4"/>
  <c r="Q184" i="4"/>
  <c r="P184" i="4"/>
  <c r="R184" i="4" l="1"/>
  <c r="J191" i="4"/>
  <c r="K190" i="4"/>
  <c r="M190" i="4" s="1"/>
  <c r="E190" i="5"/>
  <c r="F190" i="5" s="1"/>
  <c r="P185" i="4"/>
  <c r="N186" i="4"/>
  <c r="Q185" i="4"/>
  <c r="J192" i="4" l="1"/>
  <c r="K191" i="4"/>
  <c r="M191" i="4" s="1"/>
  <c r="E191" i="5"/>
  <c r="F191" i="5" s="1"/>
  <c r="R185" i="4"/>
  <c r="Q186" i="4"/>
  <c r="N187" i="4"/>
  <c r="P186" i="4"/>
  <c r="R186" i="4" l="1"/>
  <c r="J193" i="4"/>
  <c r="K192" i="4"/>
  <c r="M192" i="4" s="1"/>
  <c r="E192" i="5"/>
  <c r="F192" i="5" s="1"/>
  <c r="Q187" i="4"/>
  <c r="N188" i="4"/>
  <c r="P187" i="4"/>
  <c r="R187" i="4" l="1"/>
  <c r="J194" i="4"/>
  <c r="K193" i="4"/>
  <c r="M193" i="4" s="1"/>
  <c r="E193" i="5"/>
  <c r="F193" i="5" s="1"/>
  <c r="P188" i="4"/>
  <c r="N189" i="4"/>
  <c r="Q188" i="4"/>
  <c r="J195" i="4" l="1"/>
  <c r="K194" i="4"/>
  <c r="M194" i="4" s="1"/>
  <c r="E194" i="5"/>
  <c r="F194" i="5" s="1"/>
  <c r="R188" i="4"/>
  <c r="N190" i="4"/>
  <c r="P189" i="4"/>
  <c r="Q189" i="4"/>
  <c r="J196" i="4" l="1"/>
  <c r="K195" i="4"/>
  <c r="M195" i="4" s="1"/>
  <c r="E195" i="5"/>
  <c r="F195" i="5" s="1"/>
  <c r="R189" i="4"/>
  <c r="P190" i="4"/>
  <c r="N191" i="4"/>
  <c r="Q190" i="4"/>
  <c r="J197" i="4" l="1"/>
  <c r="K196" i="4"/>
  <c r="M196" i="4" s="1"/>
  <c r="E196" i="5"/>
  <c r="F196" i="5" s="1"/>
  <c r="R190" i="4"/>
  <c r="Q191" i="4"/>
  <c r="P191" i="4"/>
  <c r="N192" i="4"/>
  <c r="J198" i="4" l="1"/>
  <c r="K197" i="4"/>
  <c r="M197" i="4" s="1"/>
  <c r="E197" i="5"/>
  <c r="F197" i="5" s="1"/>
  <c r="R191" i="4"/>
  <c r="N193" i="4"/>
  <c r="Q192" i="4"/>
  <c r="P192" i="4"/>
  <c r="R192" i="4" l="1"/>
  <c r="J199" i="4"/>
  <c r="K198" i="4"/>
  <c r="M198" i="4" s="1"/>
  <c r="E198" i="5"/>
  <c r="F198" i="5" s="1"/>
  <c r="N194" i="4"/>
  <c r="Q193" i="4"/>
  <c r="P193" i="4"/>
  <c r="R193" i="4" l="1"/>
  <c r="J200" i="4"/>
  <c r="K199" i="4"/>
  <c r="M199" i="4" s="1"/>
  <c r="E199" i="5"/>
  <c r="F199" i="5" s="1"/>
  <c r="N195" i="4"/>
  <c r="Q194" i="4"/>
  <c r="P194" i="4"/>
  <c r="R194" i="4" l="1"/>
  <c r="J201" i="4"/>
  <c r="K200" i="4"/>
  <c r="M200" i="4" s="1"/>
  <c r="E200" i="5"/>
  <c r="F200" i="5" s="1"/>
  <c r="N196" i="4"/>
  <c r="Q195" i="4"/>
  <c r="P195" i="4"/>
  <c r="R195" i="4" l="1"/>
  <c r="J202" i="4"/>
  <c r="K201" i="4"/>
  <c r="M201" i="4" s="1"/>
  <c r="E201" i="5"/>
  <c r="F201" i="5" s="1"/>
  <c r="N197" i="4"/>
  <c r="Q196" i="4"/>
  <c r="P196" i="4"/>
  <c r="R196" i="4" l="1"/>
  <c r="J203" i="4"/>
  <c r="K202" i="4"/>
  <c r="M202" i="4" s="1"/>
  <c r="E202" i="5"/>
  <c r="F202" i="5" s="1"/>
  <c r="Q197" i="4"/>
  <c r="P197" i="4"/>
  <c r="N198" i="4"/>
  <c r="J204" i="4" l="1"/>
  <c r="K203" i="4"/>
  <c r="M203" i="4" s="1"/>
  <c r="E203" i="5"/>
  <c r="F203" i="5" s="1"/>
  <c r="R197" i="4"/>
  <c r="N199" i="4"/>
  <c r="Q198" i="4"/>
  <c r="P198" i="4"/>
  <c r="R198" i="4" l="1"/>
  <c r="J205" i="4"/>
  <c r="K204" i="4"/>
  <c r="M204" i="4" s="1"/>
  <c r="E204" i="5"/>
  <c r="F204" i="5" s="1"/>
  <c r="N200" i="4"/>
  <c r="P199" i="4"/>
  <c r="Q199" i="4"/>
  <c r="J206" i="4" l="1"/>
  <c r="K205" i="4"/>
  <c r="M205" i="4" s="1"/>
  <c r="E205" i="5"/>
  <c r="F205" i="5" s="1"/>
  <c r="R199" i="4"/>
  <c r="Q200" i="4"/>
  <c r="N201" i="4"/>
  <c r="P200" i="4"/>
  <c r="R200" i="4" l="1"/>
  <c r="J207" i="4"/>
  <c r="K206" i="4"/>
  <c r="M206" i="4" s="1"/>
  <c r="E206" i="5"/>
  <c r="F206" i="5" s="1"/>
  <c r="N202" i="4"/>
  <c r="P201" i="4"/>
  <c r="Q201" i="4"/>
  <c r="J208" i="4" l="1"/>
  <c r="K207" i="4"/>
  <c r="M207" i="4" s="1"/>
  <c r="E207" i="5"/>
  <c r="F207" i="5" s="1"/>
  <c r="R201" i="4"/>
  <c r="N203" i="4"/>
  <c r="Q202" i="4"/>
  <c r="P202" i="4"/>
  <c r="J209" i="4" l="1"/>
  <c r="K208" i="4"/>
  <c r="M208" i="4" s="1"/>
  <c r="E208" i="5"/>
  <c r="F208" i="5" s="1"/>
  <c r="R202" i="4"/>
  <c r="P203" i="4"/>
  <c r="N204" i="4"/>
  <c r="Q203" i="4"/>
  <c r="J210" i="4" l="1"/>
  <c r="K209" i="4"/>
  <c r="M209" i="4" s="1"/>
  <c r="E209" i="5"/>
  <c r="F209" i="5" s="1"/>
  <c r="R203" i="4"/>
  <c r="Q204" i="4"/>
  <c r="N205" i="4"/>
  <c r="P204" i="4"/>
  <c r="R204" i="4" l="1"/>
  <c r="J211" i="4"/>
  <c r="K210" i="4"/>
  <c r="M210" i="4" s="1"/>
  <c r="E210" i="5"/>
  <c r="F210" i="5" s="1"/>
  <c r="P205" i="4"/>
  <c r="N206" i="4"/>
  <c r="Q205" i="4"/>
  <c r="J212" i="4" l="1"/>
  <c r="K211" i="4"/>
  <c r="M211" i="4" s="1"/>
  <c r="E211" i="5"/>
  <c r="F211" i="5" s="1"/>
  <c r="R205" i="4"/>
  <c r="N207" i="4"/>
  <c r="Q206" i="4"/>
  <c r="P206" i="4"/>
  <c r="R206" i="4" l="1"/>
  <c r="J213" i="4"/>
  <c r="K212" i="4"/>
  <c r="M212" i="4" s="1"/>
  <c r="E212" i="5"/>
  <c r="F212" i="5" s="1"/>
  <c r="Q207" i="4"/>
  <c r="N208" i="4"/>
  <c r="P207" i="4"/>
  <c r="R207" i="4" l="1"/>
  <c r="J214" i="4"/>
  <c r="K213" i="4"/>
  <c r="M213" i="4" s="1"/>
  <c r="E213" i="5"/>
  <c r="F213" i="5" s="1"/>
  <c r="Q208" i="4"/>
  <c r="N209" i="4"/>
  <c r="P208" i="4"/>
  <c r="J215" i="4" l="1"/>
  <c r="K214" i="4"/>
  <c r="M214" i="4" s="1"/>
  <c r="R208" i="4"/>
  <c r="E214" i="5"/>
  <c r="F214" i="5" s="1"/>
  <c r="N210" i="4"/>
  <c r="Q209" i="4"/>
  <c r="P209" i="4"/>
  <c r="R209" i="4" l="1"/>
  <c r="J216" i="4"/>
  <c r="K215" i="4"/>
  <c r="M215" i="4" s="1"/>
  <c r="E215" i="5"/>
  <c r="F215" i="5" s="1"/>
  <c r="N211" i="4"/>
  <c r="Q210" i="4"/>
  <c r="P210" i="4"/>
  <c r="R210" i="4" l="1"/>
  <c r="J217" i="4"/>
  <c r="K216" i="4"/>
  <c r="M216" i="4" s="1"/>
  <c r="E216" i="5"/>
  <c r="F216" i="5" s="1"/>
  <c r="P211" i="4"/>
  <c r="N212" i="4"/>
  <c r="Q211" i="4"/>
  <c r="J218" i="4" l="1"/>
  <c r="K217" i="4"/>
  <c r="M217" i="4" s="1"/>
  <c r="E217" i="5"/>
  <c r="F217" i="5" s="1"/>
  <c r="R211" i="4"/>
  <c r="Q212" i="4"/>
  <c r="P212" i="4"/>
  <c r="N213" i="4"/>
  <c r="J219" i="4" l="1"/>
  <c r="K218" i="4"/>
  <c r="M218" i="4" s="1"/>
  <c r="R212" i="4"/>
  <c r="E218" i="5"/>
  <c r="F218" i="5" s="1"/>
  <c r="P213" i="4"/>
  <c r="N214" i="4"/>
  <c r="Q213" i="4"/>
  <c r="J220" i="4" l="1"/>
  <c r="K219" i="4"/>
  <c r="M219" i="4" s="1"/>
  <c r="E219" i="5"/>
  <c r="F219" i="5" s="1"/>
  <c r="R213" i="4"/>
  <c r="N215" i="4"/>
  <c r="Q214" i="4"/>
  <c r="P214" i="4"/>
  <c r="R214" i="4" l="1"/>
  <c r="J221" i="4"/>
  <c r="K220" i="4"/>
  <c r="M220" i="4" s="1"/>
  <c r="E220" i="5"/>
  <c r="F220" i="5" s="1"/>
  <c r="N216" i="4"/>
  <c r="Q215" i="4"/>
  <c r="P215" i="4"/>
  <c r="J222" i="4" l="1"/>
  <c r="K221" i="4"/>
  <c r="M221" i="4" s="1"/>
  <c r="R215" i="4"/>
  <c r="E221" i="5"/>
  <c r="F221" i="5" s="1"/>
  <c r="N217" i="4"/>
  <c r="Q216" i="4"/>
  <c r="P216" i="4"/>
  <c r="R216" i="4" l="1"/>
  <c r="J223" i="4"/>
  <c r="K222" i="4"/>
  <c r="M222" i="4" s="1"/>
  <c r="E222" i="5"/>
  <c r="F222" i="5" s="1"/>
  <c r="N218" i="4"/>
  <c r="P217" i="4"/>
  <c r="Q217" i="4"/>
  <c r="J224" i="4" l="1"/>
  <c r="K223" i="4"/>
  <c r="M223" i="4" s="1"/>
  <c r="E223" i="5"/>
  <c r="F223" i="5" s="1"/>
  <c r="R217" i="4"/>
  <c r="N219" i="4"/>
  <c r="Q218" i="4"/>
  <c r="P218" i="4"/>
  <c r="R218" i="4" l="1"/>
  <c r="J225" i="4"/>
  <c r="K224" i="4"/>
  <c r="M224" i="4" s="1"/>
  <c r="E224" i="5"/>
  <c r="F224" i="5" s="1"/>
  <c r="N220" i="4"/>
  <c r="P219" i="4"/>
  <c r="Q219" i="4"/>
  <c r="J226" i="4" l="1"/>
  <c r="K225" i="4"/>
  <c r="M225" i="4" s="1"/>
  <c r="E225" i="5"/>
  <c r="F225" i="5" s="1"/>
  <c r="R219" i="4"/>
  <c r="Q220" i="4"/>
  <c r="P220" i="4"/>
  <c r="N221" i="4"/>
  <c r="R220" i="4" l="1"/>
  <c r="J227" i="4"/>
  <c r="K226" i="4"/>
  <c r="M226" i="4" s="1"/>
  <c r="E226" i="5"/>
  <c r="F226" i="5" s="1"/>
  <c r="N222" i="4"/>
  <c r="Q221" i="4"/>
  <c r="P221" i="4"/>
  <c r="R221" i="4" l="1"/>
  <c r="J228" i="4"/>
  <c r="K227" i="4"/>
  <c r="M227" i="4" s="1"/>
  <c r="E227" i="5"/>
  <c r="F227" i="5" s="1"/>
  <c r="N223" i="4"/>
  <c r="Q222" i="4"/>
  <c r="P222" i="4"/>
  <c r="R222" i="4" l="1"/>
  <c r="J229" i="4"/>
  <c r="K228" i="4"/>
  <c r="M228" i="4" s="1"/>
  <c r="E228" i="5"/>
  <c r="F228" i="5" s="1"/>
  <c r="Q223" i="4"/>
  <c r="P223" i="4"/>
  <c r="N224" i="4"/>
  <c r="J230" i="4" l="1"/>
  <c r="K229" i="4"/>
  <c r="M229" i="4" s="1"/>
  <c r="E229" i="5"/>
  <c r="F229" i="5" s="1"/>
  <c r="R223" i="4"/>
  <c r="N225" i="4"/>
  <c r="P224" i="4"/>
  <c r="Q224" i="4"/>
  <c r="J231" i="4" l="1"/>
  <c r="K230" i="4"/>
  <c r="M230" i="4" s="1"/>
  <c r="E230" i="5"/>
  <c r="F230" i="5" s="1"/>
  <c r="R224" i="4"/>
  <c r="N226" i="4"/>
  <c r="P225" i="4"/>
  <c r="Q225" i="4"/>
  <c r="J232" i="4" l="1"/>
  <c r="K231" i="4"/>
  <c r="M231" i="4" s="1"/>
  <c r="E231" i="5"/>
  <c r="F231" i="5" s="1"/>
  <c r="R225" i="4"/>
  <c r="N227" i="4"/>
  <c r="Q226" i="4"/>
  <c r="P226" i="4"/>
  <c r="J233" i="4" l="1"/>
  <c r="K232" i="4"/>
  <c r="M232" i="4" s="1"/>
  <c r="E232" i="5"/>
  <c r="F232" i="5" s="1"/>
  <c r="R226" i="4"/>
  <c r="N228" i="4"/>
  <c r="P227" i="4"/>
  <c r="Q227" i="4"/>
  <c r="J234" i="4" l="1"/>
  <c r="K233" i="4"/>
  <c r="M233" i="4" s="1"/>
  <c r="E233" i="5"/>
  <c r="F233" i="5" s="1"/>
  <c r="R227" i="4"/>
  <c r="N229" i="4"/>
  <c r="Q228" i="4"/>
  <c r="P228" i="4"/>
  <c r="R228" i="4" l="1"/>
  <c r="J235" i="4"/>
  <c r="K234" i="4"/>
  <c r="M234" i="4" s="1"/>
  <c r="E234" i="5"/>
  <c r="F234" i="5" s="1"/>
  <c r="Q229" i="4"/>
  <c r="N230" i="4"/>
  <c r="P229" i="4"/>
  <c r="R229" i="4" l="1"/>
  <c r="J236" i="4"/>
  <c r="K235" i="4"/>
  <c r="M235" i="4" s="1"/>
  <c r="E235" i="5"/>
  <c r="F235" i="5" s="1"/>
  <c r="N231" i="4"/>
  <c r="Q230" i="4"/>
  <c r="P230" i="4"/>
  <c r="J237" i="4" l="1"/>
  <c r="K236" i="4"/>
  <c r="M236" i="4" s="1"/>
  <c r="R230" i="4"/>
  <c r="E236" i="5"/>
  <c r="F236" i="5" s="1"/>
  <c r="N232" i="4"/>
  <c r="Q231" i="4"/>
  <c r="P231" i="4"/>
  <c r="R231" i="4" s="1"/>
  <c r="J238" i="4" l="1"/>
  <c r="K237" i="4"/>
  <c r="M237" i="4" s="1"/>
  <c r="E237" i="5"/>
  <c r="F237" i="5" s="1"/>
  <c r="N233" i="4"/>
  <c r="Q232" i="4"/>
  <c r="P232" i="4"/>
  <c r="R232" i="4" l="1"/>
  <c r="J239" i="4"/>
  <c r="K238" i="4"/>
  <c r="M238" i="4" s="1"/>
  <c r="E238" i="5"/>
  <c r="F238" i="5" s="1"/>
  <c r="N234" i="4"/>
  <c r="P233" i="4"/>
  <c r="Q233" i="4"/>
  <c r="J240" i="4" l="1"/>
  <c r="K239" i="4"/>
  <c r="M239" i="4" s="1"/>
  <c r="E239" i="5"/>
  <c r="F239" i="5" s="1"/>
  <c r="R233" i="4"/>
  <c r="Q234" i="4"/>
  <c r="N235" i="4"/>
  <c r="P234" i="4"/>
  <c r="R234" i="4" l="1"/>
  <c r="J241" i="4"/>
  <c r="K240" i="4"/>
  <c r="M240" i="4" s="1"/>
  <c r="E240" i="5"/>
  <c r="F240" i="5" s="1"/>
  <c r="N236" i="4"/>
  <c r="P235" i="4"/>
  <c r="Q235" i="4"/>
  <c r="J242" i="4" l="1"/>
  <c r="K241" i="4"/>
  <c r="M241" i="4" s="1"/>
  <c r="E241" i="5"/>
  <c r="F241" i="5" s="1"/>
  <c r="R235" i="4"/>
  <c r="N237" i="4"/>
  <c r="Q236" i="4"/>
  <c r="P236" i="4"/>
  <c r="R236" i="4" l="1"/>
  <c r="J243" i="4"/>
  <c r="K242" i="4"/>
  <c r="M242" i="4" s="1"/>
  <c r="E242" i="5"/>
  <c r="F242" i="5" s="1"/>
  <c r="N238" i="4"/>
  <c r="P237" i="4"/>
  <c r="Q237" i="4"/>
  <c r="J244" i="4" l="1"/>
  <c r="K243" i="4"/>
  <c r="M243" i="4" s="1"/>
  <c r="E243" i="5"/>
  <c r="F243" i="5" s="1"/>
  <c r="R237" i="4"/>
  <c r="N239" i="4"/>
  <c r="Q238" i="4"/>
  <c r="P238" i="4"/>
  <c r="J245" i="4" l="1"/>
  <c r="K244" i="4"/>
  <c r="M244" i="4" s="1"/>
  <c r="R238" i="4"/>
  <c r="E244" i="5"/>
  <c r="F244" i="5" s="1"/>
  <c r="Q239" i="4"/>
  <c r="N240" i="4"/>
  <c r="P239" i="4"/>
  <c r="R239" i="4" l="1"/>
  <c r="J246" i="4"/>
  <c r="K245" i="4"/>
  <c r="M245" i="4" s="1"/>
  <c r="E245" i="5"/>
  <c r="F245" i="5" s="1"/>
  <c r="P240" i="4"/>
  <c r="N241" i="4"/>
  <c r="Q240" i="4"/>
  <c r="J247" i="4" l="1"/>
  <c r="K246" i="4"/>
  <c r="M246" i="4" s="1"/>
  <c r="E246" i="5"/>
  <c r="F246" i="5" s="1"/>
  <c r="R240" i="4"/>
  <c r="N242" i="4"/>
  <c r="Q241" i="4"/>
  <c r="P241" i="4"/>
  <c r="R241" i="4" l="1"/>
  <c r="J248" i="4"/>
  <c r="K247" i="4"/>
  <c r="M247" i="4" s="1"/>
  <c r="E247" i="5"/>
  <c r="F247" i="5" s="1"/>
  <c r="N243" i="4"/>
  <c r="Q242" i="4"/>
  <c r="P242" i="4"/>
  <c r="J249" i="4" l="1"/>
  <c r="K248" i="4"/>
  <c r="M248" i="4" s="1"/>
  <c r="R242" i="4"/>
  <c r="E248" i="5"/>
  <c r="F248" i="5" s="1"/>
  <c r="P243" i="4"/>
  <c r="N244" i="4"/>
  <c r="Q243" i="4"/>
  <c r="J250" i="4" l="1"/>
  <c r="K249" i="4"/>
  <c r="M249" i="4" s="1"/>
  <c r="E249" i="5"/>
  <c r="F249" i="5" s="1"/>
  <c r="R243" i="4"/>
  <c r="N245" i="4"/>
  <c r="Q244" i="4"/>
  <c r="P244" i="4"/>
  <c r="R244" i="4" l="1"/>
  <c r="J251" i="4"/>
  <c r="K250" i="4"/>
  <c r="M250" i="4" s="1"/>
  <c r="E250" i="5"/>
  <c r="F250" i="5" s="1"/>
  <c r="N246" i="4"/>
  <c r="P245" i="4"/>
  <c r="Q245" i="4"/>
  <c r="J252" i="4" l="1"/>
  <c r="K251" i="4"/>
  <c r="M251" i="4" s="1"/>
  <c r="E251" i="5"/>
  <c r="F251" i="5" s="1"/>
  <c r="R245" i="4"/>
  <c r="N247" i="4"/>
  <c r="Q246" i="4"/>
  <c r="P246" i="4"/>
  <c r="J253" i="4" l="1"/>
  <c r="K252" i="4"/>
  <c r="M252" i="4" s="1"/>
  <c r="R246" i="4"/>
  <c r="E252" i="5"/>
  <c r="F252" i="5" s="1"/>
  <c r="N248" i="4"/>
  <c r="Q247" i="4"/>
  <c r="P247" i="4"/>
  <c r="R247" i="4" l="1"/>
  <c r="J254" i="4"/>
  <c r="K253" i="4"/>
  <c r="M253" i="4" s="1"/>
  <c r="E253" i="5"/>
  <c r="F253" i="5" s="1"/>
  <c r="Q248" i="4"/>
  <c r="N249" i="4"/>
  <c r="P248" i="4"/>
  <c r="J255" i="4" l="1"/>
  <c r="K254" i="4"/>
  <c r="M254" i="4" s="1"/>
  <c r="R248" i="4"/>
  <c r="E254" i="5"/>
  <c r="F254" i="5" s="1"/>
  <c r="P249" i="4"/>
  <c r="Q249" i="4"/>
  <c r="N250" i="4"/>
  <c r="J256" i="4" l="1"/>
  <c r="K255" i="4"/>
  <c r="M255" i="4" s="1"/>
  <c r="E255" i="5"/>
  <c r="F255" i="5" s="1"/>
  <c r="R249" i="4"/>
  <c r="N251" i="4"/>
  <c r="P250" i="4"/>
  <c r="Q250" i="4"/>
  <c r="J257" i="4" l="1"/>
  <c r="K256" i="4"/>
  <c r="M256" i="4" s="1"/>
  <c r="E256" i="5"/>
  <c r="F256" i="5" s="1"/>
  <c r="R250" i="4"/>
  <c r="N252" i="4"/>
  <c r="P251" i="4"/>
  <c r="Q251" i="4"/>
  <c r="J258" i="4" l="1"/>
  <c r="K257" i="4"/>
  <c r="M257" i="4" s="1"/>
  <c r="E257" i="5"/>
  <c r="F257" i="5" s="1"/>
  <c r="R251" i="4"/>
  <c r="Q252" i="4"/>
  <c r="N253" i="4"/>
  <c r="P252" i="4"/>
  <c r="J259" i="4" l="1"/>
  <c r="K258" i="4"/>
  <c r="M258" i="4" s="1"/>
  <c r="R252" i="4"/>
  <c r="E258" i="5"/>
  <c r="F258" i="5" s="1"/>
  <c r="P253" i="4"/>
  <c r="N254" i="4"/>
  <c r="Q253" i="4"/>
  <c r="J260" i="4" l="1"/>
  <c r="K259" i="4"/>
  <c r="M259" i="4" s="1"/>
  <c r="E259" i="5"/>
  <c r="F259" i="5" s="1"/>
  <c r="R253" i="4"/>
  <c r="N255" i="4"/>
  <c r="Q254" i="4"/>
  <c r="P254" i="4"/>
  <c r="J261" i="4" l="1"/>
  <c r="K260" i="4"/>
  <c r="M260" i="4" s="1"/>
  <c r="R254" i="4"/>
  <c r="E260" i="5"/>
  <c r="F260" i="5" s="1"/>
  <c r="N256" i="4"/>
  <c r="Q255" i="4"/>
  <c r="P255" i="4"/>
  <c r="R255" i="4" l="1"/>
  <c r="J262" i="4"/>
  <c r="K261" i="4"/>
  <c r="M261" i="4" s="1"/>
  <c r="E261" i="5"/>
  <c r="F261" i="5" s="1"/>
  <c r="N257" i="4"/>
  <c r="Q256" i="4"/>
  <c r="P256" i="4"/>
  <c r="R256" i="4" l="1"/>
  <c r="J263" i="4"/>
  <c r="K262" i="4"/>
  <c r="M262" i="4" s="1"/>
  <c r="E262" i="5"/>
  <c r="F262" i="5" s="1"/>
  <c r="P257" i="4"/>
  <c r="N258" i="4"/>
  <c r="Q257" i="4"/>
  <c r="J264" i="4" l="1"/>
  <c r="K263" i="4"/>
  <c r="M263" i="4" s="1"/>
  <c r="E263" i="5"/>
  <c r="F263" i="5" s="1"/>
  <c r="R257" i="4"/>
  <c r="N259" i="4"/>
  <c r="Q258" i="4"/>
  <c r="P258" i="4"/>
  <c r="J265" i="4" l="1"/>
  <c r="K264" i="4"/>
  <c r="M264" i="4" s="1"/>
  <c r="R258" i="4"/>
  <c r="E264" i="5"/>
  <c r="F264" i="5" s="1"/>
  <c r="P259" i="4"/>
  <c r="Q259" i="4"/>
  <c r="N260" i="4"/>
  <c r="J266" i="4" l="1"/>
  <c r="K265" i="4"/>
  <c r="M265" i="4" s="1"/>
  <c r="E265" i="5"/>
  <c r="F265" i="5" s="1"/>
  <c r="R259" i="4"/>
  <c r="Q260" i="4"/>
  <c r="N261" i="4"/>
  <c r="P260" i="4"/>
  <c r="R260" i="4" l="1"/>
  <c r="J267" i="4"/>
  <c r="K266" i="4"/>
  <c r="M266" i="4" s="1"/>
  <c r="E266" i="5"/>
  <c r="F266" i="5" s="1"/>
  <c r="N262" i="4"/>
  <c r="P261" i="4"/>
  <c r="Q261" i="4"/>
  <c r="J268" i="4" l="1"/>
  <c r="K267" i="4"/>
  <c r="M267" i="4" s="1"/>
  <c r="E267" i="5"/>
  <c r="F267" i="5" s="1"/>
  <c r="R261" i="4"/>
  <c r="Q262" i="4"/>
  <c r="N263" i="4"/>
  <c r="P262" i="4"/>
  <c r="R262" i="4" l="1"/>
  <c r="J269" i="4"/>
  <c r="K268" i="4"/>
  <c r="M268" i="4" s="1"/>
  <c r="E268" i="5"/>
  <c r="F268" i="5" s="1"/>
  <c r="N264" i="4"/>
  <c r="P263" i="4"/>
  <c r="Q263" i="4"/>
  <c r="J270" i="4" l="1"/>
  <c r="K269" i="4"/>
  <c r="M269" i="4" s="1"/>
  <c r="E269" i="5"/>
  <c r="F269" i="5" s="1"/>
  <c r="R263" i="4"/>
  <c r="N265" i="4"/>
  <c r="Q264" i="4"/>
  <c r="P264" i="4"/>
  <c r="R264" i="4" l="1"/>
  <c r="J271" i="4"/>
  <c r="K270" i="4"/>
  <c r="M270" i="4" s="1"/>
  <c r="E270" i="5"/>
  <c r="F270" i="5" s="1"/>
  <c r="N266" i="4"/>
  <c r="P265" i="4"/>
  <c r="Q265" i="4"/>
  <c r="J272" i="4" l="1"/>
  <c r="K271" i="4"/>
  <c r="M271" i="4" s="1"/>
  <c r="E271" i="5"/>
  <c r="F271" i="5" s="1"/>
  <c r="R265" i="4"/>
  <c r="N267" i="4"/>
  <c r="P266" i="4"/>
  <c r="Q266" i="4"/>
  <c r="J273" i="4" l="1"/>
  <c r="K272" i="4"/>
  <c r="M272" i="4" s="1"/>
  <c r="E272" i="5"/>
  <c r="F272" i="5" s="1"/>
  <c r="R266" i="4"/>
  <c r="N268" i="4"/>
  <c r="P267" i="4"/>
  <c r="Q267" i="4"/>
  <c r="J274" i="4" l="1"/>
  <c r="K273" i="4"/>
  <c r="M273" i="4" s="1"/>
  <c r="E273" i="5"/>
  <c r="F273" i="5" s="1"/>
  <c r="R267" i="4"/>
  <c r="Q268" i="4"/>
  <c r="N269" i="4"/>
  <c r="P268" i="4"/>
  <c r="R268" i="4" l="1"/>
  <c r="J275" i="4"/>
  <c r="K274" i="4"/>
  <c r="M274" i="4" s="1"/>
  <c r="E274" i="5"/>
  <c r="F274" i="5" s="1"/>
  <c r="N270" i="4"/>
  <c r="Q269" i="4"/>
  <c r="P269" i="4"/>
  <c r="R269" i="4" l="1"/>
  <c r="J276" i="4"/>
  <c r="K275" i="4"/>
  <c r="M275" i="4" s="1"/>
  <c r="E275" i="5"/>
  <c r="F275" i="5" s="1"/>
  <c r="Q270" i="4"/>
  <c r="N271" i="4"/>
  <c r="P270" i="4"/>
  <c r="J277" i="4" l="1"/>
  <c r="K276" i="4"/>
  <c r="M276" i="4" s="1"/>
  <c r="E276" i="5"/>
  <c r="F276" i="5" s="1"/>
  <c r="R270" i="4"/>
  <c r="P271" i="4"/>
  <c r="N272" i="4"/>
  <c r="Q271" i="4"/>
  <c r="J278" i="4" l="1"/>
  <c r="K277" i="4"/>
  <c r="M277" i="4" s="1"/>
  <c r="E277" i="5"/>
  <c r="F277" i="5" s="1"/>
  <c r="R271" i="4"/>
  <c r="N273" i="4"/>
  <c r="Q272" i="4"/>
  <c r="P272" i="4"/>
  <c r="R272" i="4" l="1"/>
  <c r="J279" i="4"/>
  <c r="K278" i="4"/>
  <c r="M278" i="4" s="1"/>
  <c r="E278" i="5"/>
  <c r="F278" i="5" s="1"/>
  <c r="P273" i="4"/>
  <c r="Q273" i="4"/>
  <c r="N274" i="4"/>
  <c r="J280" i="4" l="1"/>
  <c r="K279" i="4"/>
  <c r="M279" i="4" s="1"/>
  <c r="E279" i="5"/>
  <c r="F279" i="5" s="1"/>
  <c r="R273" i="4"/>
  <c r="N275" i="4"/>
  <c r="Q274" i="4"/>
  <c r="P274" i="4"/>
  <c r="J281" i="4" l="1"/>
  <c r="K280" i="4"/>
  <c r="M280" i="4" s="1"/>
  <c r="R274" i="4"/>
  <c r="E280" i="5"/>
  <c r="F280" i="5" s="1"/>
  <c r="P275" i="4"/>
  <c r="N276" i="4"/>
  <c r="Q275" i="4"/>
  <c r="J282" i="4" l="1"/>
  <c r="K281" i="4"/>
  <c r="M281" i="4" s="1"/>
  <c r="E281" i="5"/>
  <c r="F281" i="5" s="1"/>
  <c r="R275" i="4"/>
  <c r="Q276" i="4"/>
  <c r="N277" i="4"/>
  <c r="P276" i="4"/>
  <c r="R276" i="4" l="1"/>
  <c r="J283" i="4"/>
  <c r="K282" i="4"/>
  <c r="M282" i="4" s="1"/>
  <c r="E282" i="5"/>
  <c r="F282" i="5" s="1"/>
  <c r="N278" i="4"/>
  <c r="P277" i="4"/>
  <c r="Q277" i="4"/>
  <c r="J284" i="4" l="1"/>
  <c r="K283" i="4"/>
  <c r="M283" i="4" s="1"/>
  <c r="E283" i="5"/>
  <c r="F283" i="5" s="1"/>
  <c r="R277" i="4"/>
  <c r="N279" i="4"/>
  <c r="Q278" i="4"/>
  <c r="P278" i="4"/>
  <c r="R278" i="4" l="1"/>
  <c r="J285" i="4"/>
  <c r="K284" i="4"/>
  <c r="M284" i="4" s="1"/>
  <c r="E284" i="5"/>
  <c r="F284" i="5" s="1"/>
  <c r="N280" i="4"/>
  <c r="Q279" i="4"/>
  <c r="P279" i="4"/>
  <c r="R279" i="4" l="1"/>
  <c r="J286" i="4"/>
  <c r="K285" i="4"/>
  <c r="M285" i="4" s="1"/>
  <c r="E285" i="5"/>
  <c r="F285" i="5" s="1"/>
  <c r="Q280" i="4"/>
  <c r="N281" i="4"/>
  <c r="P280" i="4"/>
  <c r="R280" i="4" l="1"/>
  <c r="J287" i="4"/>
  <c r="K286" i="4"/>
  <c r="M286" i="4" s="1"/>
  <c r="E286" i="5"/>
  <c r="F286" i="5" s="1"/>
  <c r="N282" i="4"/>
  <c r="Q281" i="4"/>
  <c r="P281" i="4"/>
  <c r="R281" i="4" l="1"/>
  <c r="J288" i="4"/>
  <c r="K287" i="4"/>
  <c r="M287" i="4" s="1"/>
  <c r="E287" i="5"/>
  <c r="F287" i="5" s="1"/>
  <c r="Q282" i="4"/>
  <c r="N283" i="4"/>
  <c r="P282" i="4"/>
  <c r="R282" i="4" l="1"/>
  <c r="J289" i="4"/>
  <c r="K288" i="4"/>
  <c r="M288" i="4" s="1"/>
  <c r="E288" i="5"/>
  <c r="F288" i="5" s="1"/>
  <c r="N284" i="4"/>
  <c r="P283" i="4"/>
  <c r="Q283" i="4"/>
  <c r="J290" i="4" l="1"/>
  <c r="K289" i="4"/>
  <c r="M289" i="4" s="1"/>
  <c r="E289" i="5"/>
  <c r="F289" i="5" s="1"/>
  <c r="R283" i="4"/>
  <c r="N285" i="4"/>
  <c r="Q284" i="4"/>
  <c r="P284" i="4"/>
  <c r="R284" i="4" l="1"/>
  <c r="J291" i="4"/>
  <c r="K290" i="4"/>
  <c r="M290" i="4" s="1"/>
  <c r="E290" i="5"/>
  <c r="F290" i="5" s="1"/>
  <c r="N286" i="4"/>
  <c r="P285" i="4"/>
  <c r="Q285" i="4"/>
  <c r="J292" i="4" l="1"/>
  <c r="K291" i="4"/>
  <c r="M291" i="4" s="1"/>
  <c r="E291" i="5"/>
  <c r="F291" i="5" s="1"/>
  <c r="R285" i="4"/>
  <c r="N287" i="4"/>
  <c r="P286" i="4"/>
  <c r="Q286" i="4"/>
  <c r="J293" i="4" l="1"/>
  <c r="K292" i="4"/>
  <c r="M292" i="4" s="1"/>
  <c r="E292" i="5"/>
  <c r="F292" i="5" s="1"/>
  <c r="R286" i="4"/>
  <c r="N288" i="4"/>
  <c r="P287" i="4"/>
  <c r="Q287" i="4"/>
  <c r="J294" i="4" l="1"/>
  <c r="K293" i="4"/>
  <c r="M293" i="4" s="1"/>
  <c r="E293" i="5"/>
  <c r="F293" i="5" s="1"/>
  <c r="R287" i="4"/>
  <c r="N289" i="4"/>
  <c r="Q288" i="4"/>
  <c r="P288" i="4"/>
  <c r="R288" i="4" l="1"/>
  <c r="J295" i="4"/>
  <c r="K294" i="4"/>
  <c r="M294" i="4" s="1"/>
  <c r="E294" i="5"/>
  <c r="F294" i="5" s="1"/>
  <c r="N290" i="4"/>
  <c r="Q289" i="4"/>
  <c r="P289" i="4"/>
  <c r="R289" i="4" l="1"/>
  <c r="J296" i="4"/>
  <c r="K295" i="4"/>
  <c r="M295" i="4" s="1"/>
  <c r="E295" i="5"/>
  <c r="F295" i="5" s="1"/>
  <c r="N291" i="4"/>
  <c r="P290" i="4"/>
  <c r="Q290" i="4"/>
  <c r="J297" i="4" l="1"/>
  <c r="K296" i="4"/>
  <c r="M296" i="4" s="1"/>
  <c r="E296" i="5"/>
  <c r="F296" i="5" s="1"/>
  <c r="R290" i="4"/>
  <c r="N292" i="4"/>
  <c r="P291" i="4"/>
  <c r="Q291" i="4"/>
  <c r="J298" i="4" l="1"/>
  <c r="K297" i="4"/>
  <c r="M297" i="4" s="1"/>
  <c r="E297" i="5"/>
  <c r="F297" i="5" s="1"/>
  <c r="R291" i="4"/>
  <c r="P292" i="4"/>
  <c r="N293" i="4"/>
  <c r="Q292" i="4"/>
  <c r="J299" i="4" l="1"/>
  <c r="K298" i="4"/>
  <c r="M298" i="4" s="1"/>
  <c r="E298" i="5"/>
  <c r="F298" i="5" s="1"/>
  <c r="R292" i="4"/>
  <c r="P293" i="4"/>
  <c r="N294" i="4"/>
  <c r="Q293" i="4"/>
  <c r="J300" i="4" l="1"/>
  <c r="K299" i="4"/>
  <c r="M299" i="4" s="1"/>
  <c r="E299" i="5"/>
  <c r="F299" i="5" s="1"/>
  <c r="R293" i="4"/>
  <c r="N295" i="4"/>
  <c r="Q294" i="4"/>
  <c r="P294" i="4"/>
  <c r="J301" i="4" l="1"/>
  <c r="K300" i="4"/>
  <c r="M300" i="4" s="1"/>
  <c r="R294" i="4"/>
  <c r="E300" i="5"/>
  <c r="F300" i="5" s="1"/>
  <c r="N296" i="4"/>
  <c r="Q295" i="4"/>
  <c r="P295" i="4"/>
  <c r="R295" i="4" l="1"/>
  <c r="J302" i="4"/>
  <c r="K301" i="4"/>
  <c r="M301" i="4" s="1"/>
  <c r="E301" i="5"/>
  <c r="F301" i="5" s="1"/>
  <c r="N297" i="4"/>
  <c r="P296" i="4"/>
  <c r="Q296" i="4"/>
  <c r="J303" i="4" l="1"/>
  <c r="K302" i="4"/>
  <c r="M302" i="4" s="1"/>
  <c r="E302" i="5"/>
  <c r="F302" i="5" s="1"/>
  <c r="R296" i="4"/>
  <c r="N298" i="4"/>
  <c r="P297" i="4"/>
  <c r="Q297" i="4"/>
  <c r="J304" i="4" l="1"/>
  <c r="K303" i="4"/>
  <c r="M303" i="4" s="1"/>
  <c r="E303" i="5"/>
  <c r="F303" i="5" s="1"/>
  <c r="R297" i="4"/>
  <c r="N299" i="4"/>
  <c r="P298" i="4"/>
  <c r="Q298" i="4"/>
  <c r="J305" i="4" l="1"/>
  <c r="K304" i="4"/>
  <c r="M304" i="4" s="1"/>
  <c r="E304" i="5"/>
  <c r="F304" i="5" s="1"/>
  <c r="R298" i="4"/>
  <c r="P299" i="4"/>
  <c r="N300" i="4"/>
  <c r="Q299" i="4"/>
  <c r="J306" i="4" l="1"/>
  <c r="K305" i="4"/>
  <c r="M305" i="4" s="1"/>
  <c r="E305" i="5"/>
  <c r="F305" i="5" s="1"/>
  <c r="R299" i="4"/>
  <c r="N301" i="4"/>
  <c r="Q300" i="4"/>
  <c r="P300" i="4"/>
  <c r="R300" i="4" l="1"/>
  <c r="J307" i="4"/>
  <c r="K306" i="4"/>
  <c r="M306" i="4" s="1"/>
  <c r="E306" i="5"/>
  <c r="F306" i="5" s="1"/>
  <c r="N302" i="4"/>
  <c r="P301" i="4"/>
  <c r="Q301" i="4"/>
  <c r="J308" i="4" l="1"/>
  <c r="K307" i="4"/>
  <c r="M307" i="4" s="1"/>
  <c r="E307" i="5"/>
  <c r="F307" i="5" s="1"/>
  <c r="R301" i="4"/>
  <c r="N303" i="4"/>
  <c r="Q302" i="4"/>
  <c r="P302" i="4"/>
  <c r="J309" i="4" l="1"/>
  <c r="K308" i="4"/>
  <c r="M308" i="4" s="1"/>
  <c r="R302" i="4"/>
  <c r="E308" i="5"/>
  <c r="F308" i="5" s="1"/>
  <c r="N304" i="4"/>
  <c r="Q303" i="4"/>
  <c r="P303" i="4"/>
  <c r="J310" i="4" l="1"/>
  <c r="K309" i="4"/>
  <c r="M309" i="4" s="1"/>
  <c r="R303" i="4"/>
  <c r="E309" i="5"/>
  <c r="F309" i="5" s="1"/>
  <c r="N305" i="4"/>
  <c r="Q304" i="4"/>
  <c r="P304" i="4"/>
  <c r="J311" i="4" l="1"/>
  <c r="K310" i="4"/>
  <c r="M310" i="4" s="1"/>
  <c r="E310" i="5"/>
  <c r="F310" i="5" s="1"/>
  <c r="R304" i="4"/>
  <c r="N306" i="4"/>
  <c r="Q305" i="4"/>
  <c r="P305" i="4"/>
  <c r="R305" i="4" l="1"/>
  <c r="J312" i="4"/>
  <c r="K311" i="4"/>
  <c r="M311" i="4" s="1"/>
  <c r="E311" i="5"/>
  <c r="F311" i="5" s="1"/>
  <c r="N307" i="4"/>
  <c r="Q306" i="4"/>
  <c r="P306" i="4"/>
  <c r="J313" i="4" l="1"/>
  <c r="K312" i="4"/>
  <c r="M312" i="4" s="1"/>
  <c r="R306" i="4"/>
  <c r="E312" i="5"/>
  <c r="F312" i="5" s="1"/>
  <c r="N308" i="4"/>
  <c r="Q307" i="4"/>
  <c r="P307" i="4"/>
  <c r="R307" i="4" l="1"/>
  <c r="J314" i="4"/>
  <c r="K313" i="4"/>
  <c r="M313" i="4" s="1"/>
  <c r="E313" i="5"/>
  <c r="F313" i="5" s="1"/>
  <c r="N309" i="4"/>
  <c r="P308" i="4"/>
  <c r="Q308" i="4"/>
  <c r="J315" i="4" l="1"/>
  <c r="K314" i="4"/>
  <c r="M314" i="4" s="1"/>
  <c r="E314" i="5"/>
  <c r="F314" i="5" s="1"/>
  <c r="R308" i="4"/>
  <c r="N310" i="4"/>
  <c r="Q309" i="4"/>
  <c r="P309" i="4"/>
  <c r="R309" i="4" l="1"/>
  <c r="J316" i="4"/>
  <c r="K315" i="4"/>
  <c r="M315" i="4" s="1"/>
  <c r="E315" i="5"/>
  <c r="F315" i="5" s="1"/>
  <c r="N311" i="4"/>
  <c r="Q310" i="4"/>
  <c r="P310" i="4"/>
  <c r="R310" i="4" l="1"/>
  <c r="J317" i="4"/>
  <c r="K316" i="4"/>
  <c r="M316" i="4" s="1"/>
  <c r="E316" i="5"/>
  <c r="F316" i="5" s="1"/>
  <c r="Q311" i="4"/>
  <c r="N312" i="4"/>
  <c r="P311" i="4"/>
  <c r="R311" i="4" l="1"/>
  <c r="J318" i="4"/>
  <c r="K317" i="4"/>
  <c r="M317" i="4" s="1"/>
  <c r="E317" i="5"/>
  <c r="F317" i="5" s="1"/>
  <c r="N313" i="4"/>
  <c r="P312" i="4"/>
  <c r="Q312" i="4"/>
  <c r="J319" i="4" l="1"/>
  <c r="K318" i="4"/>
  <c r="M318" i="4" s="1"/>
  <c r="E318" i="5"/>
  <c r="F318" i="5" s="1"/>
  <c r="R312" i="4"/>
  <c r="N314" i="4"/>
  <c r="P313" i="4"/>
  <c r="Q313" i="4"/>
  <c r="J320" i="4" l="1"/>
  <c r="K319" i="4"/>
  <c r="M319" i="4" s="1"/>
  <c r="E319" i="5"/>
  <c r="F319" i="5" s="1"/>
  <c r="R313" i="4"/>
  <c r="N315" i="4"/>
  <c r="Q314" i="4"/>
  <c r="P314" i="4"/>
  <c r="R314" i="4" l="1"/>
  <c r="J321" i="4"/>
  <c r="K320" i="4"/>
  <c r="M320" i="4" s="1"/>
  <c r="E320" i="5"/>
  <c r="F320" i="5" s="1"/>
  <c r="N316" i="4"/>
  <c r="P315" i="4"/>
  <c r="Q315" i="4"/>
  <c r="J322" i="4" l="1"/>
  <c r="K321" i="4"/>
  <c r="M321" i="4" s="1"/>
  <c r="E321" i="5"/>
  <c r="F321" i="5" s="1"/>
  <c r="R315" i="4"/>
  <c r="Q316" i="4"/>
  <c r="N317" i="4"/>
  <c r="P316" i="4"/>
  <c r="R316" i="4" l="1"/>
  <c r="J323" i="4"/>
  <c r="K322" i="4"/>
  <c r="M322" i="4" s="1"/>
  <c r="E322" i="5"/>
  <c r="F322" i="5" s="1"/>
  <c r="N318" i="4"/>
  <c r="Q317" i="4"/>
  <c r="P317" i="4"/>
  <c r="J324" i="4" l="1"/>
  <c r="K323" i="4"/>
  <c r="M323" i="4" s="1"/>
  <c r="R317" i="4"/>
  <c r="E323" i="5"/>
  <c r="F323" i="5" s="1"/>
  <c r="N319" i="4"/>
  <c r="Q318" i="4"/>
  <c r="P318" i="4"/>
  <c r="J325" i="4" l="1"/>
  <c r="K324" i="4"/>
  <c r="M324" i="4" s="1"/>
  <c r="R318" i="4"/>
  <c r="E324" i="5"/>
  <c r="F324" i="5" s="1"/>
  <c r="P319" i="4"/>
  <c r="N320" i="4"/>
  <c r="Q319" i="4"/>
  <c r="J326" i="4" l="1"/>
  <c r="K325" i="4"/>
  <c r="M325" i="4" s="1"/>
  <c r="E325" i="5"/>
  <c r="F325" i="5" s="1"/>
  <c r="R319" i="4"/>
  <c r="N321" i="4"/>
  <c r="Q320" i="4"/>
  <c r="P320" i="4"/>
  <c r="J327" i="4" l="1"/>
  <c r="K326" i="4"/>
  <c r="M326" i="4" s="1"/>
  <c r="R320" i="4"/>
  <c r="E326" i="5"/>
  <c r="F326" i="5" s="1"/>
  <c r="N322" i="4"/>
  <c r="P321" i="4"/>
  <c r="Q321" i="4"/>
  <c r="J328" i="4" l="1"/>
  <c r="K327" i="4"/>
  <c r="M327" i="4" s="1"/>
  <c r="E327" i="5"/>
  <c r="F327" i="5" s="1"/>
  <c r="R321" i="4"/>
  <c r="P322" i="4"/>
  <c r="N323" i="4"/>
  <c r="Q322" i="4"/>
  <c r="J329" i="4" l="1"/>
  <c r="K328" i="4"/>
  <c r="M328" i="4" s="1"/>
  <c r="E328" i="5"/>
  <c r="F328" i="5" s="1"/>
  <c r="R322" i="4"/>
  <c r="P323" i="4"/>
  <c r="N324" i="4"/>
  <c r="Q323" i="4"/>
  <c r="J330" i="4" l="1"/>
  <c r="K329" i="4"/>
  <c r="M329" i="4" s="1"/>
  <c r="E329" i="5"/>
  <c r="F329" i="5" s="1"/>
  <c r="R323" i="4"/>
  <c r="P324" i="4"/>
  <c r="N325" i="4"/>
  <c r="Q324" i="4"/>
  <c r="J331" i="4" l="1"/>
  <c r="K330" i="4"/>
  <c r="M330" i="4" s="1"/>
  <c r="E330" i="5"/>
  <c r="F330" i="5" s="1"/>
  <c r="R324" i="4"/>
  <c r="N326" i="4"/>
  <c r="P325" i="4"/>
  <c r="Q325" i="4"/>
  <c r="J332" i="4" l="1"/>
  <c r="K331" i="4"/>
  <c r="M331" i="4" s="1"/>
  <c r="E331" i="5"/>
  <c r="F331" i="5" s="1"/>
  <c r="R325" i="4"/>
  <c r="P326" i="4"/>
  <c r="N327" i="4"/>
  <c r="Q326" i="4"/>
  <c r="J333" i="4" l="1"/>
  <c r="K332" i="4"/>
  <c r="M332" i="4" s="1"/>
  <c r="E332" i="5"/>
  <c r="F332" i="5" s="1"/>
  <c r="R326" i="4"/>
  <c r="P327" i="4"/>
  <c r="N328" i="4"/>
  <c r="Q327" i="4"/>
  <c r="J334" i="4" l="1"/>
  <c r="K333" i="4"/>
  <c r="M333" i="4" s="1"/>
  <c r="E333" i="5"/>
  <c r="F333" i="5" s="1"/>
  <c r="R327" i="4"/>
  <c r="N329" i="4"/>
  <c r="P328" i="4"/>
  <c r="Q328" i="4"/>
  <c r="J335" i="4" l="1"/>
  <c r="K334" i="4"/>
  <c r="M334" i="4" s="1"/>
  <c r="E334" i="5"/>
  <c r="F334" i="5" s="1"/>
  <c r="R328" i="4"/>
  <c r="N330" i="4"/>
  <c r="P329" i="4"/>
  <c r="Q329" i="4"/>
  <c r="J336" i="4" l="1"/>
  <c r="K335" i="4"/>
  <c r="M335" i="4" s="1"/>
  <c r="E335" i="5"/>
  <c r="F335" i="5" s="1"/>
  <c r="R329" i="4"/>
  <c r="N331" i="4"/>
  <c r="Q330" i="4"/>
  <c r="P330" i="4"/>
  <c r="R330" i="4" l="1"/>
  <c r="J337" i="4"/>
  <c r="K336" i="4"/>
  <c r="M336" i="4" s="1"/>
  <c r="E336" i="5"/>
  <c r="F336" i="5" s="1"/>
  <c r="N332" i="4"/>
  <c r="P331" i="4"/>
  <c r="Q331" i="4"/>
  <c r="J338" i="4" l="1"/>
  <c r="K337" i="4"/>
  <c r="M337" i="4" s="1"/>
  <c r="E337" i="5"/>
  <c r="F337" i="5" s="1"/>
  <c r="R331" i="4"/>
  <c r="N333" i="4"/>
  <c r="Q332" i="4"/>
  <c r="P332" i="4"/>
  <c r="J339" i="4" l="1"/>
  <c r="K338" i="4"/>
  <c r="M338" i="4" s="1"/>
  <c r="E338" i="5"/>
  <c r="F338" i="5" s="1"/>
  <c r="R332" i="4"/>
  <c r="N334" i="4"/>
  <c r="Q333" i="4"/>
  <c r="P333" i="4"/>
  <c r="R333" i="4" l="1"/>
  <c r="J340" i="4"/>
  <c r="K339" i="4"/>
  <c r="M339" i="4" s="1"/>
  <c r="E339" i="5"/>
  <c r="F339" i="5" s="1"/>
  <c r="N335" i="4"/>
  <c r="Q334" i="4"/>
  <c r="P334" i="4"/>
  <c r="J341" i="4" l="1"/>
  <c r="K340" i="4"/>
  <c r="M340" i="4" s="1"/>
  <c r="R334" i="4"/>
  <c r="E340" i="5"/>
  <c r="F340" i="5" s="1"/>
  <c r="N336" i="4"/>
  <c r="P335" i="4"/>
  <c r="Q335" i="4"/>
  <c r="J342" i="4" l="1"/>
  <c r="K341" i="4"/>
  <c r="M341" i="4" s="1"/>
  <c r="E341" i="5"/>
  <c r="F341" i="5" s="1"/>
  <c r="R335" i="4"/>
  <c r="N337" i="4"/>
  <c r="P336" i="4"/>
  <c r="Q336" i="4"/>
  <c r="J343" i="4" l="1"/>
  <c r="K342" i="4"/>
  <c r="M342" i="4" s="1"/>
  <c r="E342" i="5"/>
  <c r="F342" i="5" s="1"/>
  <c r="R336" i="4"/>
  <c r="N338" i="4"/>
  <c r="P337" i="4"/>
  <c r="Q337" i="4"/>
  <c r="J344" i="4" l="1"/>
  <c r="K343" i="4"/>
  <c r="M343" i="4" s="1"/>
  <c r="E343" i="5"/>
  <c r="F343" i="5" s="1"/>
  <c r="R337" i="4"/>
  <c r="N339" i="4"/>
  <c r="P338" i="4"/>
  <c r="Q338" i="4"/>
  <c r="J345" i="4" l="1"/>
  <c r="K344" i="4"/>
  <c r="M344" i="4" s="1"/>
  <c r="E344" i="5"/>
  <c r="F344" i="5" s="1"/>
  <c r="R338" i="4"/>
  <c r="N340" i="4"/>
  <c r="P339" i="4"/>
  <c r="Q339" i="4"/>
  <c r="J346" i="4" l="1"/>
  <c r="K345" i="4"/>
  <c r="M345" i="4" s="1"/>
  <c r="E345" i="5"/>
  <c r="F345" i="5" s="1"/>
  <c r="R339" i="4"/>
  <c r="N341" i="4"/>
  <c r="P340" i="4"/>
  <c r="Q340" i="4"/>
  <c r="J347" i="4" l="1"/>
  <c r="K346" i="4"/>
  <c r="M346" i="4" s="1"/>
  <c r="E346" i="5"/>
  <c r="F346" i="5" s="1"/>
  <c r="R340" i="4"/>
  <c r="N342" i="4"/>
  <c r="Q341" i="4"/>
  <c r="P341" i="4"/>
  <c r="J348" i="4" l="1"/>
  <c r="K347" i="4"/>
  <c r="M347" i="4" s="1"/>
  <c r="R341" i="4"/>
  <c r="E347" i="5"/>
  <c r="F347" i="5" s="1"/>
  <c r="N343" i="4"/>
  <c r="Q342" i="4"/>
  <c r="P342" i="4"/>
  <c r="R342" i="4" l="1"/>
  <c r="J349" i="4"/>
  <c r="K348" i="4"/>
  <c r="M348" i="4" s="1"/>
  <c r="E348" i="5"/>
  <c r="F348" i="5" s="1"/>
  <c r="Q343" i="4"/>
  <c r="P343" i="4"/>
  <c r="N344" i="4"/>
  <c r="R343" i="4" l="1"/>
  <c r="J350" i="4"/>
  <c r="K349" i="4"/>
  <c r="M349" i="4" s="1"/>
  <c r="E349" i="5"/>
  <c r="F349" i="5" s="1"/>
  <c r="P344" i="4"/>
  <c r="N345" i="4"/>
  <c r="Q344" i="4"/>
  <c r="J351" i="4" l="1"/>
  <c r="K350" i="4"/>
  <c r="M350" i="4" s="1"/>
  <c r="E350" i="5"/>
  <c r="F350" i="5" s="1"/>
  <c r="R344" i="4"/>
  <c r="N346" i="4"/>
  <c r="P345" i="4"/>
  <c r="Q345" i="4"/>
  <c r="J352" i="4" l="1"/>
  <c r="K351" i="4"/>
  <c r="M351" i="4" s="1"/>
  <c r="E351" i="5"/>
  <c r="F351" i="5" s="1"/>
  <c r="R345" i="4"/>
  <c r="N347" i="4"/>
  <c r="P346" i="4"/>
  <c r="Q346" i="4"/>
  <c r="J353" i="4" l="1"/>
  <c r="K352" i="4"/>
  <c r="M352" i="4" s="1"/>
  <c r="E352" i="5"/>
  <c r="F352" i="5" s="1"/>
  <c r="R346" i="4"/>
  <c r="N348" i="4"/>
  <c r="P347" i="4"/>
  <c r="Q347" i="4"/>
  <c r="J354" i="4" l="1"/>
  <c r="K353" i="4"/>
  <c r="M353" i="4" s="1"/>
  <c r="E353" i="5"/>
  <c r="F353" i="5" s="1"/>
  <c r="R347" i="4"/>
  <c r="N349" i="4"/>
  <c r="Q348" i="4"/>
  <c r="P348" i="4"/>
  <c r="J355" i="4" l="1"/>
  <c r="K354" i="4"/>
  <c r="M354" i="4" s="1"/>
  <c r="E354" i="5"/>
  <c r="F354" i="5" s="1"/>
  <c r="R348" i="4"/>
  <c r="N350" i="4"/>
  <c r="P349" i="4"/>
  <c r="Q349" i="4"/>
  <c r="J356" i="4" l="1"/>
  <c r="K355" i="4"/>
  <c r="M355" i="4" s="1"/>
  <c r="E355" i="5"/>
  <c r="F355" i="5" s="1"/>
  <c r="R349" i="4"/>
  <c r="P350" i="4"/>
  <c r="N351" i="4"/>
  <c r="Q350" i="4"/>
  <c r="J357" i="4" l="1"/>
  <c r="K356" i="4"/>
  <c r="M356" i="4" s="1"/>
  <c r="E356" i="5"/>
  <c r="F356" i="5" s="1"/>
  <c r="R350" i="4"/>
  <c r="P351" i="4"/>
  <c r="N352" i="4"/>
  <c r="Q351" i="4"/>
  <c r="J358" i="4" l="1"/>
  <c r="K357" i="4"/>
  <c r="M357" i="4" s="1"/>
  <c r="E357" i="5"/>
  <c r="F357" i="5" s="1"/>
  <c r="R351" i="4"/>
  <c r="N353" i="4"/>
  <c r="Q352" i="4"/>
  <c r="P352" i="4"/>
  <c r="R352" i="4" l="1"/>
  <c r="J359" i="4"/>
  <c r="K358" i="4"/>
  <c r="M358" i="4" s="1"/>
  <c r="E358" i="5"/>
  <c r="F358" i="5" s="1"/>
  <c r="N354" i="4"/>
  <c r="P353" i="4"/>
  <c r="Q353" i="4"/>
  <c r="J360" i="4" l="1"/>
  <c r="K359" i="4"/>
  <c r="M359" i="4" s="1"/>
  <c r="E359" i="5"/>
  <c r="F359" i="5" s="1"/>
  <c r="R353" i="4"/>
  <c r="P354" i="4"/>
  <c r="Q354" i="4"/>
  <c r="N355" i="4"/>
  <c r="J361" i="4" l="1"/>
  <c r="K360" i="4"/>
  <c r="M360" i="4" s="1"/>
  <c r="E360" i="5"/>
  <c r="F360" i="5" s="1"/>
  <c r="R354" i="4"/>
  <c r="N356" i="4"/>
  <c r="P355" i="4"/>
  <c r="Q355" i="4"/>
  <c r="J362" i="4" l="1"/>
  <c r="K361" i="4"/>
  <c r="M361" i="4" s="1"/>
  <c r="E361" i="5"/>
  <c r="F361" i="5" s="1"/>
  <c r="R355" i="4"/>
  <c r="N357" i="4"/>
  <c r="Q356" i="4"/>
  <c r="P356" i="4"/>
  <c r="R356" i="4" l="1"/>
  <c r="J363" i="4"/>
  <c r="K363" i="4" s="1"/>
  <c r="M363" i="4" s="1"/>
  <c r="K362" i="4"/>
  <c r="M362" i="4" s="1"/>
  <c r="E362" i="5"/>
  <c r="F362" i="5" s="1"/>
  <c r="N358" i="4"/>
  <c r="Q357" i="4"/>
  <c r="P357" i="4"/>
  <c r="R357" i="4" l="1"/>
  <c r="E363" i="5"/>
  <c r="F363" i="5" s="1"/>
  <c r="O3" i="5" s="1" a="1"/>
  <c r="O3" i="5" s="1"/>
  <c r="B12" i="6" a="1"/>
  <c r="B12" i="6" s="1"/>
  <c r="N359" i="4"/>
  <c r="P358" i="4"/>
  <c r="Q358" i="4"/>
  <c r="R3" i="5" l="1"/>
  <c r="S3" i="5"/>
  <c r="U3" i="5" s="1"/>
  <c r="S21" i="5"/>
  <c r="S23" i="5"/>
  <c r="S16" i="5"/>
  <c r="S6" i="5"/>
  <c r="S8" i="5"/>
  <c r="S19" i="5"/>
  <c r="S14" i="5"/>
  <c r="S24" i="5"/>
  <c r="S22" i="5"/>
  <c r="S9" i="5"/>
  <c r="S12" i="5"/>
  <c r="S10" i="5"/>
  <c r="S25" i="5"/>
  <c r="S20" i="5"/>
  <c r="S18" i="5"/>
  <c r="S5" i="5"/>
  <c r="S11" i="5"/>
  <c r="S13" i="5"/>
  <c r="S7" i="5"/>
  <c r="S15" i="5"/>
  <c r="S17" i="5"/>
  <c r="S26" i="5"/>
  <c r="R358" i="4"/>
  <c r="N360" i="4"/>
  <c r="P359" i="4"/>
  <c r="Q359" i="4"/>
  <c r="S4" i="5" l="1"/>
  <c r="P4" i="5" a="1"/>
  <c r="R359" i="4"/>
  <c r="N361" i="4"/>
  <c r="Q360" i="4"/>
  <c r="P360" i="4"/>
  <c r="R360" i="4" l="1"/>
  <c r="P4" i="5"/>
  <c r="V230" i="5"/>
  <c r="V71" i="5"/>
  <c r="V64" i="5"/>
  <c r="V268" i="5"/>
  <c r="V109" i="5"/>
  <c r="V265" i="5"/>
  <c r="R292" i="5"/>
  <c r="R119" i="5"/>
  <c r="R281" i="5"/>
  <c r="R58" i="5"/>
  <c r="R219" i="5"/>
  <c r="R206" i="5"/>
  <c r="R66" i="5"/>
  <c r="R307" i="5"/>
  <c r="R262" i="5"/>
  <c r="V261" i="5"/>
  <c r="V59" i="5"/>
  <c r="V260" i="5"/>
  <c r="V121" i="5"/>
  <c r="V32" i="5"/>
  <c r="V147" i="5"/>
  <c r="R236" i="5"/>
  <c r="R63" i="5"/>
  <c r="R289" i="5"/>
  <c r="V91" i="5"/>
  <c r="V46" i="5"/>
  <c r="V353" i="5"/>
  <c r="V137" i="5"/>
  <c r="V207" i="5"/>
  <c r="V212" i="5"/>
  <c r="R77" i="5"/>
  <c r="R263" i="5"/>
  <c r="R96" i="5"/>
  <c r="R190" i="5"/>
  <c r="V155" i="5"/>
  <c r="V154" i="5"/>
  <c r="V248" i="5"/>
  <c r="V21" i="5"/>
  <c r="V44" i="5"/>
  <c r="V253" i="5"/>
  <c r="R28" i="5"/>
  <c r="R181" i="5"/>
  <c r="R17" i="5"/>
  <c r="R200" i="5"/>
  <c r="R147" i="5"/>
  <c r="V223" i="5"/>
  <c r="V9" i="5"/>
  <c r="V86" i="5"/>
  <c r="R21" i="5"/>
  <c r="R40" i="5"/>
  <c r="R270" i="5"/>
  <c r="R260" i="5"/>
  <c r="R176" i="5"/>
  <c r="R347" i="5"/>
  <c r="V37" i="5"/>
  <c r="R129" i="5"/>
  <c r="V51" i="5"/>
  <c r="V189" i="5"/>
  <c r="R64" i="5"/>
  <c r="V132" i="5"/>
  <c r="V92" i="5"/>
  <c r="R62" i="5"/>
  <c r="R95" i="5"/>
  <c r="V356" i="5"/>
  <c r="V56" i="5"/>
  <c r="R42" i="5"/>
  <c r="V69" i="5"/>
  <c r="V284" i="5"/>
  <c r="V117" i="5"/>
  <c r="R324" i="5"/>
  <c r="R313" i="5"/>
  <c r="R306" i="5"/>
  <c r="R332" i="5"/>
  <c r="R329" i="5"/>
  <c r="V102" i="5"/>
  <c r="V245" i="5"/>
  <c r="V191" i="5"/>
  <c r="V104" i="5"/>
  <c r="V72" i="5"/>
  <c r="V161" i="5"/>
  <c r="V358" i="5"/>
  <c r="V336" i="5"/>
  <c r="V302" i="5"/>
  <c r="V278" i="5"/>
  <c r="R356" i="5"/>
  <c r="R183" i="5"/>
  <c r="R16" i="5"/>
  <c r="R122" i="5"/>
  <c r="R222" i="5"/>
  <c r="R161" i="5"/>
  <c r="R130" i="5"/>
  <c r="R166" i="5"/>
  <c r="R342" i="5"/>
  <c r="V310" i="5"/>
  <c r="V40" i="5"/>
  <c r="V129" i="5"/>
  <c r="V12" i="5"/>
  <c r="V173" i="5"/>
  <c r="V58" i="5"/>
  <c r="R300" i="5"/>
  <c r="R127" i="5"/>
  <c r="R216" i="5"/>
  <c r="V273" i="5"/>
  <c r="V231" i="5"/>
  <c r="V308" i="5"/>
  <c r="V199" i="5"/>
  <c r="V176" i="5"/>
  <c r="V266" i="5"/>
  <c r="R141" i="5"/>
  <c r="R327" i="5"/>
  <c r="R160" i="5"/>
  <c r="R350" i="5"/>
  <c r="V66" i="5"/>
  <c r="V313" i="5"/>
  <c r="V99" i="5"/>
  <c r="V54" i="5"/>
  <c r="V349" i="5"/>
  <c r="V294" i="5"/>
  <c r="R92" i="5"/>
  <c r="R245" i="5"/>
  <c r="R81" i="5"/>
  <c r="R264" i="5"/>
  <c r="R322" i="5"/>
  <c r="V82" i="5"/>
  <c r="V314" i="5"/>
  <c r="V203" i="5"/>
  <c r="R149" i="5"/>
  <c r="R168" i="5"/>
  <c r="R30" i="5"/>
  <c r="R157" i="5"/>
  <c r="R304" i="5"/>
  <c r="R330" i="5"/>
  <c r="V214" i="5"/>
  <c r="R56" i="5"/>
  <c r="V269" i="5"/>
  <c r="V228" i="5"/>
  <c r="R320" i="5"/>
  <c r="V342" i="5"/>
  <c r="V7" i="5"/>
  <c r="V251" i="5"/>
  <c r="R351" i="5"/>
  <c r="V14" i="5"/>
  <c r="V18" i="5"/>
  <c r="V98" i="5"/>
  <c r="V219" i="5"/>
  <c r="V135" i="5"/>
  <c r="V335" i="5"/>
  <c r="R93" i="5"/>
  <c r="R112" i="5"/>
  <c r="R230" i="5"/>
  <c r="R101" i="5"/>
  <c r="R98" i="5"/>
  <c r="V242" i="5"/>
  <c r="V222" i="5"/>
  <c r="R128" i="5"/>
  <c r="V196" i="5"/>
  <c r="V183" i="5"/>
  <c r="R76" i="5"/>
  <c r="V318" i="5"/>
  <c r="V42" i="5"/>
  <c r="V201" i="5"/>
  <c r="V241" i="5"/>
  <c r="V292" i="5"/>
  <c r="V192" i="5"/>
  <c r="V79" i="5"/>
  <c r="V89" i="5"/>
  <c r="R61" i="5"/>
  <c r="R247" i="5"/>
  <c r="R80" i="5"/>
  <c r="R142" i="5"/>
  <c r="R107" i="5"/>
  <c r="R24" i="5"/>
  <c r="R170" i="5"/>
  <c r="R363" i="5"/>
  <c r="R315" i="5"/>
  <c r="V144" i="5"/>
  <c r="V11" i="5"/>
  <c r="W12" i="5" s="1"/>
  <c r="V255" i="5"/>
  <c r="V289" i="5"/>
  <c r="V10" i="5"/>
  <c r="V270" i="5"/>
  <c r="R5" i="5"/>
  <c r="R191" i="5"/>
  <c r="R334" i="5"/>
  <c r="V299" i="5"/>
  <c r="V256" i="5"/>
  <c r="V213" i="5"/>
  <c r="V29" i="5"/>
  <c r="V50" i="5"/>
  <c r="R52" i="5"/>
  <c r="R205" i="5"/>
  <c r="R41" i="5"/>
  <c r="R224" i="5"/>
  <c r="R214" i="5"/>
  <c r="V159" i="5"/>
  <c r="V243" i="5"/>
  <c r="V281" i="5"/>
  <c r="V239" i="5"/>
  <c r="V165" i="5"/>
  <c r="V136" i="5"/>
  <c r="R156" i="5"/>
  <c r="R309" i="5"/>
  <c r="R145" i="5"/>
  <c r="R328" i="5"/>
  <c r="R174" i="5"/>
  <c r="V96" i="5"/>
  <c r="V334" i="5"/>
  <c r="V215" i="5"/>
  <c r="R277" i="5"/>
  <c r="R296" i="5"/>
  <c r="R358" i="5"/>
  <c r="R285" i="5"/>
  <c r="R26" i="5"/>
  <c r="V205" i="5"/>
  <c r="V343" i="5"/>
  <c r="R312" i="5"/>
  <c r="V160" i="5"/>
  <c r="W161" i="5" s="1"/>
  <c r="R20" i="5"/>
  <c r="V287" i="5"/>
  <c r="V345" i="5"/>
  <c r="V150" i="5"/>
  <c r="V259" i="5"/>
  <c r="R257" i="5"/>
  <c r="V185" i="5"/>
  <c r="R276" i="5"/>
  <c r="V220" i="5"/>
  <c r="V124" i="5"/>
  <c r="V341" i="5"/>
  <c r="V94" i="5"/>
  <c r="R221" i="5"/>
  <c r="R240" i="5"/>
  <c r="R266" i="5"/>
  <c r="R31" i="5"/>
  <c r="R254" i="5"/>
  <c r="V172" i="5"/>
  <c r="V202" i="5"/>
  <c r="R337" i="5"/>
  <c r="V238" i="5"/>
  <c r="V217" i="5"/>
  <c r="R229" i="5"/>
  <c r="V298" i="5"/>
  <c r="W299" i="5" s="1"/>
  <c r="R340" i="5"/>
  <c r="V244" i="5"/>
  <c r="V103" i="5"/>
  <c r="V145" i="5"/>
  <c r="V328" i="5"/>
  <c r="V85" i="5"/>
  <c r="V362" i="5"/>
  <c r="V317" i="5"/>
  <c r="R36" i="5"/>
  <c r="V190" i="5"/>
  <c r="V163" i="5"/>
  <c r="V118" i="5"/>
  <c r="V62" i="5"/>
  <c r="V197" i="5"/>
  <c r="V73" i="5"/>
  <c r="V305" i="5"/>
  <c r="V57" i="5"/>
  <c r="V127" i="5"/>
  <c r="V83" i="5"/>
  <c r="R228" i="5"/>
  <c r="R55" i="5"/>
  <c r="R217" i="5"/>
  <c r="R353" i="5"/>
  <c r="R355" i="5"/>
  <c r="R331" i="5"/>
  <c r="R361" i="5"/>
  <c r="R242" i="5"/>
  <c r="R238" i="5"/>
  <c r="V350" i="5"/>
  <c r="V209" i="5"/>
  <c r="V108" i="5"/>
  <c r="V16" i="5"/>
  <c r="V293" i="5"/>
  <c r="V312" i="5"/>
  <c r="R172" i="5"/>
  <c r="R6" i="5"/>
  <c r="R225" i="5"/>
  <c r="V240" i="5"/>
  <c r="V13" i="5"/>
  <c r="V280" i="5"/>
  <c r="V179" i="5"/>
  <c r="V22" i="5"/>
  <c r="V120" i="5"/>
  <c r="R13" i="5"/>
  <c r="R199" i="5"/>
  <c r="R32" i="5"/>
  <c r="R138" i="5"/>
  <c r="V95" i="5"/>
  <c r="V116" i="5"/>
  <c r="V39" i="5"/>
  <c r="V81" i="5"/>
  <c r="W82" i="5" s="1"/>
  <c r="V218" i="5"/>
  <c r="V216" i="5"/>
  <c r="V52" i="5"/>
  <c r="R117" i="5"/>
  <c r="R303" i="5"/>
  <c r="R136" i="5"/>
  <c r="R298" i="5"/>
  <c r="R349" i="5"/>
  <c r="V126" i="5"/>
  <c r="V354" i="5"/>
  <c r="R252" i="5"/>
  <c r="R241" i="5"/>
  <c r="R91" i="5"/>
  <c r="R132" i="5"/>
  <c r="R48" i="5"/>
  <c r="R291" i="5"/>
  <c r="V258" i="5"/>
  <c r="R223" i="5"/>
  <c r="V224" i="5"/>
  <c r="V267" i="5"/>
  <c r="R137" i="5"/>
  <c r="V359" i="5"/>
  <c r="V152" i="5"/>
  <c r="R249" i="5"/>
  <c r="R165" i="5"/>
  <c r="R346" i="5"/>
  <c r="V286" i="5"/>
  <c r="R192" i="5"/>
  <c r="V34" i="5"/>
  <c r="V346" i="5"/>
  <c r="V6" i="5"/>
  <c r="W7" i="5" s="1"/>
  <c r="R196" i="5"/>
  <c r="R185" i="5"/>
  <c r="R282" i="5"/>
  <c r="R204" i="5"/>
  <c r="R120" i="5"/>
  <c r="R134" i="5"/>
  <c r="V285" i="5"/>
  <c r="R295" i="5"/>
  <c r="V194" i="5"/>
  <c r="V297" i="5"/>
  <c r="V97" i="5"/>
  <c r="V347" i="5"/>
  <c r="V128" i="5"/>
  <c r="W129" i="5" s="1"/>
  <c r="R256" i="5"/>
  <c r="R82" i="5"/>
  <c r="R290" i="5"/>
  <c r="R305" i="5"/>
  <c r="R15" i="5"/>
  <c r="V329" i="5"/>
  <c r="R213" i="5"/>
  <c r="R232" i="5"/>
  <c r="R201" i="5"/>
  <c r="V344" i="5"/>
  <c r="V330" i="5"/>
  <c r="V177" i="5"/>
  <c r="R106" i="5"/>
  <c r="R178" i="5"/>
  <c r="R115" i="5"/>
  <c r="V110" i="5"/>
  <c r="V106" i="5"/>
  <c r="V188" i="5"/>
  <c r="W189" i="5" s="1"/>
  <c r="R25" i="5"/>
  <c r="R171" i="5"/>
  <c r="R152" i="5"/>
  <c r="R35" i="5"/>
  <c r="V169" i="5"/>
  <c r="V316" i="5"/>
  <c r="V26" i="5"/>
  <c r="R133" i="5"/>
  <c r="V320" i="5"/>
  <c r="V236" i="5"/>
  <c r="V357" i="5"/>
  <c r="R180" i="5"/>
  <c r="R169" i="5"/>
  <c r="R59" i="5"/>
  <c r="V78" i="5"/>
  <c r="V363" i="5"/>
  <c r="V348" i="5"/>
  <c r="R111" i="5"/>
  <c r="R50" i="5"/>
  <c r="V77" i="5"/>
  <c r="V17" i="5"/>
  <c r="W18" i="5" s="1"/>
  <c r="R146" i="5"/>
  <c r="R215" i="5"/>
  <c r="V75" i="5"/>
  <c r="R155" i="5"/>
  <c r="R45" i="5"/>
  <c r="V47" i="5"/>
  <c r="V100" i="5"/>
  <c r="V175" i="5"/>
  <c r="V322" i="5"/>
  <c r="V254" i="5"/>
  <c r="R151" i="5"/>
  <c r="R102" i="5"/>
  <c r="R325" i="5"/>
  <c r="R212" i="5"/>
  <c r="V210" i="5"/>
  <c r="R248" i="5"/>
  <c r="R167" i="5"/>
  <c r="R143" i="5"/>
  <c r="R188" i="5"/>
  <c r="R104" i="5"/>
  <c r="R49" i="5"/>
  <c r="V193" i="5"/>
  <c r="R259" i="5"/>
  <c r="R194" i="5"/>
  <c r="V90" i="5"/>
  <c r="R255" i="5"/>
  <c r="V151" i="5"/>
  <c r="V133" i="5"/>
  <c r="R220" i="5"/>
  <c r="V43" i="5"/>
  <c r="V84" i="5"/>
  <c r="V262" i="5"/>
  <c r="R159" i="5"/>
  <c r="V221" i="5"/>
  <c r="R283" i="5"/>
  <c r="R210" i="5"/>
  <c r="V200" i="5"/>
  <c r="V229" i="5"/>
  <c r="W230" i="5" s="1"/>
  <c r="R67" i="5"/>
  <c r="V324" i="5"/>
  <c r="V74" i="5"/>
  <c r="V166" i="5"/>
  <c r="R284" i="5"/>
  <c r="V20" i="5"/>
  <c r="V332" i="5"/>
  <c r="R34" i="5"/>
  <c r="V340" i="5"/>
  <c r="R323" i="5"/>
  <c r="V8" i="5"/>
  <c r="V195" i="5"/>
  <c r="R100" i="5"/>
  <c r="R89" i="5"/>
  <c r="R338" i="5"/>
  <c r="R280" i="5"/>
  <c r="R274" i="5"/>
  <c r="V234" i="5"/>
  <c r="V149" i="5"/>
  <c r="V326" i="5"/>
  <c r="R197" i="5"/>
  <c r="V325" i="5"/>
  <c r="V162" i="5"/>
  <c r="V187" i="5"/>
  <c r="R244" i="5"/>
  <c r="R233" i="5"/>
  <c r="R187" i="5"/>
  <c r="V138" i="5"/>
  <c r="V272" i="5"/>
  <c r="V170" i="5"/>
  <c r="R175" i="5"/>
  <c r="R114" i="5"/>
  <c r="V295" i="5"/>
  <c r="V178" i="5"/>
  <c r="R19" i="5"/>
  <c r="R343" i="5"/>
  <c r="V111" i="5"/>
  <c r="R314" i="5"/>
  <c r="R301" i="5"/>
  <c r="V107" i="5"/>
  <c r="R12" i="5"/>
  <c r="V63" i="5"/>
  <c r="V80" i="5"/>
  <c r="V60" i="5"/>
  <c r="R279" i="5"/>
  <c r="V158" i="5"/>
  <c r="R294" i="5"/>
  <c r="R109" i="5"/>
  <c r="V28" i="5"/>
  <c r="R302" i="5"/>
  <c r="R73" i="5"/>
  <c r="R131" i="5"/>
  <c r="R83" i="5"/>
  <c r="R163" i="5"/>
  <c r="R43" i="5"/>
  <c r="R158" i="5"/>
  <c r="V338" i="5"/>
  <c r="R139" i="5"/>
  <c r="V112" i="5"/>
  <c r="V247" i="5"/>
  <c r="R269" i="5"/>
  <c r="V148" i="5"/>
  <c r="R209" i="5"/>
  <c r="R79" i="5"/>
  <c r="R14" i="5"/>
  <c r="V24" i="5"/>
  <c r="R184" i="5"/>
  <c r="R173" i="5"/>
  <c r="V33" i="5"/>
  <c r="R275" i="5"/>
  <c r="V288" i="5"/>
  <c r="R150" i="5"/>
  <c r="V49" i="5"/>
  <c r="R189" i="5"/>
  <c r="R354" i="5"/>
  <c r="V142" i="5"/>
  <c r="V140" i="5"/>
  <c r="R7" i="5"/>
  <c r="V184" i="5"/>
  <c r="R273" i="5"/>
  <c r="R207" i="5"/>
  <c r="R51" i="5"/>
  <c r="V352" i="5"/>
  <c r="R103" i="5"/>
  <c r="R90" i="5"/>
  <c r="R287" i="5"/>
  <c r="V70" i="5"/>
  <c r="V303" i="5"/>
  <c r="R164" i="5"/>
  <c r="R153" i="5"/>
  <c r="R195" i="5"/>
  <c r="R344" i="5"/>
  <c r="R227" i="5"/>
  <c r="V55" i="5"/>
  <c r="V182" i="5"/>
  <c r="V87" i="5"/>
  <c r="R261" i="5"/>
  <c r="V31" i="5"/>
  <c r="V115" i="5"/>
  <c r="V237" i="5"/>
  <c r="R308" i="5"/>
  <c r="R297" i="5"/>
  <c r="R267" i="5"/>
  <c r="V333" i="5"/>
  <c r="V319" i="5"/>
  <c r="V282" i="5"/>
  <c r="R239" i="5"/>
  <c r="R110" i="5"/>
  <c r="V355" i="5"/>
  <c r="W356" i="5" s="1"/>
  <c r="R124" i="5"/>
  <c r="R54" i="5"/>
  <c r="R121" i="5"/>
  <c r="V171" i="5"/>
  <c r="R99" i="5"/>
  <c r="R231" i="5"/>
  <c r="V321" i="5"/>
  <c r="W322" i="5" s="1"/>
  <c r="R268" i="5"/>
  <c r="V101" i="5"/>
  <c r="W102" i="5" s="1"/>
  <c r="V119" i="5"/>
  <c r="V157" i="5"/>
  <c r="R57" i="5"/>
  <c r="V306" i="5"/>
  <c r="R286" i="5"/>
  <c r="R39" i="5"/>
  <c r="V327" i="5"/>
  <c r="R203" i="5"/>
  <c r="R154" i="5"/>
  <c r="R271" i="5"/>
  <c r="R362" i="5"/>
  <c r="V30" i="5"/>
  <c r="R177" i="5"/>
  <c r="R326" i="5"/>
  <c r="V168" i="5"/>
  <c r="V301" i="5"/>
  <c r="W302" i="5" s="1"/>
  <c r="R125" i="5"/>
  <c r="R144" i="5"/>
  <c r="R243" i="5"/>
  <c r="V139" i="5"/>
  <c r="V246" i="5"/>
  <c r="R288" i="5"/>
  <c r="V198" i="5"/>
  <c r="W199" i="5" s="1"/>
  <c r="R339" i="5"/>
  <c r="R310" i="5"/>
  <c r="V76" i="5"/>
  <c r="V61" i="5"/>
  <c r="W62" i="5" s="1"/>
  <c r="R9" i="5"/>
  <c r="V35" i="5"/>
  <c r="R299" i="5"/>
  <c r="V307" i="5"/>
  <c r="W308" i="5" s="1"/>
  <c r="R208" i="5"/>
  <c r="R179" i="5"/>
  <c r="V167" i="5"/>
  <c r="R319" i="5"/>
  <c r="V88" i="5"/>
  <c r="R352" i="5"/>
  <c r="V45" i="5"/>
  <c r="R198" i="5"/>
  <c r="R186" i="5"/>
  <c r="R140" i="5"/>
  <c r="V339" i="5"/>
  <c r="V131" i="5"/>
  <c r="V276" i="5"/>
  <c r="V23" i="5"/>
  <c r="R317" i="5"/>
  <c r="R336" i="5"/>
  <c r="R226" i="5"/>
  <c r="R27" i="5"/>
  <c r="R250" i="5"/>
  <c r="V227" i="5"/>
  <c r="V226" i="5"/>
  <c r="R108" i="5"/>
  <c r="R97" i="5"/>
  <c r="V361" i="5"/>
  <c r="V274" i="5"/>
  <c r="V68" i="5"/>
  <c r="R135" i="5"/>
  <c r="R74" i="5"/>
  <c r="V105" i="5"/>
  <c r="V337" i="5"/>
  <c r="V15" i="5"/>
  <c r="W16" i="5" s="1"/>
  <c r="R53" i="5"/>
  <c r="R72" i="5"/>
  <c r="R75" i="5"/>
  <c r="V233" i="5"/>
  <c r="R113" i="5"/>
  <c r="R11" i="5"/>
  <c r="R123" i="5"/>
  <c r="R293" i="5"/>
  <c r="V323" i="5"/>
  <c r="V141" i="5"/>
  <c r="R29" i="5"/>
  <c r="R94" i="5"/>
  <c r="R265" i="5"/>
  <c r="V113" i="5"/>
  <c r="R68" i="5"/>
  <c r="R258" i="5"/>
  <c r="R321" i="5"/>
  <c r="V311" i="5"/>
  <c r="W312" i="5" s="1"/>
  <c r="V283" i="5"/>
  <c r="W284" i="5" s="1"/>
  <c r="V48" i="5"/>
  <c r="V134" i="5"/>
  <c r="V146" i="5"/>
  <c r="R211" i="5"/>
  <c r="V41" i="5"/>
  <c r="W42" i="5" s="1"/>
  <c r="R78" i="5"/>
  <c r="V206" i="5"/>
  <c r="R126" i="5"/>
  <c r="V164" i="5"/>
  <c r="V232" i="5"/>
  <c r="R311" i="5"/>
  <c r="R318" i="5"/>
  <c r="R88" i="5"/>
  <c r="R202" i="5"/>
  <c r="V27" i="5"/>
  <c r="V250" i="5"/>
  <c r="V143" i="5"/>
  <c r="R69" i="5"/>
  <c r="R246" i="5"/>
  <c r="V291" i="5"/>
  <c r="V263" i="5"/>
  <c r="R116" i="5"/>
  <c r="R105" i="5"/>
  <c r="R22" i="5"/>
  <c r="V360" i="5"/>
  <c r="V296" i="5"/>
  <c r="V19" i="5"/>
  <c r="R47" i="5"/>
  <c r="R345" i="5"/>
  <c r="V300" i="5"/>
  <c r="V275" i="5"/>
  <c r="R18" i="5"/>
  <c r="R87" i="5"/>
  <c r="V252" i="5"/>
  <c r="W253" i="5" s="1"/>
  <c r="R46" i="5"/>
  <c r="R148" i="5"/>
  <c r="V25" i="5"/>
  <c r="W26" i="5" s="1"/>
  <c r="V125" i="5"/>
  <c r="V180" i="5"/>
  <c r="V65" i="5"/>
  <c r="V264" i="5"/>
  <c r="R23" i="5"/>
  <c r="R182" i="5"/>
  <c r="R278" i="5"/>
  <c r="R84" i="5"/>
  <c r="V225" i="5"/>
  <c r="R65" i="5"/>
  <c r="R253" i="5"/>
  <c r="R33" i="5"/>
  <c r="V309" i="5"/>
  <c r="W310" i="5" s="1"/>
  <c r="R37" i="5"/>
  <c r="R234" i="5"/>
  <c r="V153" i="5"/>
  <c r="V123" i="5"/>
  <c r="V277" i="5"/>
  <c r="V67" i="5"/>
  <c r="V5" i="5"/>
  <c r="V122" i="5"/>
  <c r="R333" i="5"/>
  <c r="R44" i="5"/>
  <c r="V249" i="5"/>
  <c r="R272" i="5"/>
  <c r="V315" i="5"/>
  <c r="R348" i="5"/>
  <c r="V235" i="5"/>
  <c r="R193" i="5"/>
  <c r="V204" i="5"/>
  <c r="V290" i="5"/>
  <c r="R360" i="5"/>
  <c r="V211" i="5"/>
  <c r="V93" i="5"/>
  <c r="R71" i="5"/>
  <c r="R118" i="5"/>
  <c r="V181" i="5"/>
  <c r="R237" i="5"/>
  <c r="V186" i="5"/>
  <c r="V271" i="5"/>
  <c r="R251" i="5"/>
  <c r="V257" i="5"/>
  <c r="R8" i="5"/>
  <c r="V36" i="5"/>
  <c r="V114" i="5"/>
  <c r="R162" i="5"/>
  <c r="R60" i="5"/>
  <c r="R218" i="5"/>
  <c r="R357" i="5"/>
  <c r="V38" i="5"/>
  <c r="W39" i="5" s="1"/>
  <c r="R38" i="5"/>
  <c r="V208" i="5"/>
  <c r="R70" i="5"/>
  <c r="R316" i="5"/>
  <c r="R86" i="5"/>
  <c r="R341" i="5"/>
  <c r="V130" i="5"/>
  <c r="R10" i="5"/>
  <c r="R335" i="5"/>
  <c r="R359" i="5"/>
  <c r="V156" i="5"/>
  <c r="V53" i="5"/>
  <c r="R235" i="5"/>
  <c r="V331" i="5"/>
  <c r="V351" i="5"/>
  <c r="V279" i="5"/>
  <c r="V174" i="5"/>
  <c r="V304" i="5"/>
  <c r="R85" i="5"/>
  <c r="N362" i="4"/>
  <c r="Q361" i="4"/>
  <c r="P361" i="4"/>
  <c r="W239" i="5" l="1"/>
  <c r="W291" i="5"/>
  <c r="W280" i="5"/>
  <c r="W56" i="5"/>
  <c r="W86" i="5"/>
  <c r="W120" i="5"/>
  <c r="W313" i="5"/>
  <c r="W173" i="5"/>
  <c r="W68" i="5"/>
  <c r="W336" i="5"/>
  <c r="W159" i="5"/>
  <c r="W251" i="5"/>
  <c r="W91" i="5"/>
  <c r="W316" i="5"/>
  <c r="W142" i="5"/>
  <c r="W149" i="5"/>
  <c r="W326" i="5"/>
  <c r="W321" i="5"/>
  <c r="W128" i="5"/>
  <c r="W160" i="5"/>
  <c r="W59" i="5"/>
  <c r="W352" i="5"/>
  <c r="W362" i="5"/>
  <c r="W34" i="5"/>
  <c r="W242" i="5"/>
  <c r="W261" i="5"/>
  <c r="W241" i="5"/>
  <c r="W31" i="5"/>
  <c r="W331" i="5"/>
  <c r="W153" i="5"/>
  <c r="W23" i="5"/>
  <c r="W8" i="5"/>
  <c r="W290" i="5"/>
  <c r="R361" i="4"/>
  <c r="W236" i="5"/>
  <c r="W194" i="5"/>
  <c r="W163" i="5"/>
  <c r="W71" i="5"/>
  <c r="W125" i="5"/>
  <c r="W293" i="5"/>
  <c r="W46" i="5"/>
  <c r="W222" i="5"/>
  <c r="W255" i="5"/>
  <c r="W116" i="5"/>
  <c r="W112" i="5"/>
  <c r="W40" i="5"/>
  <c r="W265" i="5"/>
  <c r="W179" i="5"/>
  <c r="W115" i="5"/>
  <c r="W123" i="5"/>
  <c r="W135" i="5"/>
  <c r="W228" i="5"/>
  <c r="W78" i="5"/>
  <c r="W98" i="5"/>
  <c r="W260" i="5"/>
  <c r="W106" i="5"/>
  <c r="W305" i="5"/>
  <c r="W37" i="5"/>
  <c r="W6" i="5"/>
  <c r="W361" i="5"/>
  <c r="W144" i="5"/>
  <c r="W165" i="5"/>
  <c r="W234" i="5"/>
  <c r="W168" i="5"/>
  <c r="W158" i="5"/>
  <c r="W334" i="5"/>
  <c r="W88" i="5"/>
  <c r="W108" i="5"/>
  <c r="W188" i="5"/>
  <c r="W44" i="5"/>
  <c r="W358" i="5"/>
  <c r="W298" i="5"/>
  <c r="W127" i="5"/>
  <c r="W219" i="5"/>
  <c r="W119" i="5"/>
  <c r="W146" i="5"/>
  <c r="W95" i="5"/>
  <c r="W151" i="5"/>
  <c r="W282" i="5"/>
  <c r="W51" i="5"/>
  <c r="W271" i="5"/>
  <c r="W80" i="5"/>
  <c r="W184" i="5"/>
  <c r="W215" i="5"/>
  <c r="W315" i="5"/>
  <c r="W192" i="5"/>
  <c r="W93" i="5"/>
  <c r="W249" i="5"/>
  <c r="W110" i="5"/>
  <c r="W272" i="5"/>
  <c r="W140" i="5"/>
  <c r="W209" i="5"/>
  <c r="W175" i="5"/>
  <c r="W66" i="5"/>
  <c r="W69" i="5"/>
  <c r="W185" i="5"/>
  <c r="W289" i="5"/>
  <c r="W201" i="5"/>
  <c r="W237" i="5"/>
  <c r="W178" i="5"/>
  <c r="W195" i="5"/>
  <c r="W121" i="5"/>
  <c r="W342" i="5"/>
  <c r="W346" i="5"/>
  <c r="W244" i="5"/>
  <c r="W11" i="5"/>
  <c r="W197" i="5"/>
  <c r="W55" i="5"/>
  <c r="W267" i="5"/>
  <c r="W279" i="5"/>
  <c r="W246" i="5"/>
  <c r="W285" i="5"/>
  <c r="W133" i="5"/>
  <c r="W155" i="5"/>
  <c r="W138" i="5"/>
  <c r="W33" i="5"/>
  <c r="W269" i="5"/>
  <c r="W136" i="5"/>
  <c r="W157" i="5"/>
  <c r="W182" i="5"/>
  <c r="W297" i="5"/>
  <c r="W233" i="5"/>
  <c r="W132" i="5"/>
  <c r="W172" i="5"/>
  <c r="W320" i="5"/>
  <c r="W50" i="5"/>
  <c r="W339" i="5"/>
  <c r="W29" i="5"/>
  <c r="W341" i="5"/>
  <c r="W85" i="5"/>
  <c r="W211" i="5"/>
  <c r="W101" i="5"/>
  <c r="W330" i="5"/>
  <c r="W355" i="5"/>
  <c r="W217" i="5"/>
  <c r="W351" i="5"/>
  <c r="W63" i="5"/>
  <c r="W206" i="5"/>
  <c r="W240" i="5"/>
  <c r="W90" i="5"/>
  <c r="W15" i="5"/>
  <c r="W204" i="5"/>
  <c r="W311" i="5"/>
  <c r="W105" i="5"/>
  <c r="W224" i="5"/>
  <c r="W22" i="5"/>
  <c r="W213" i="5"/>
  <c r="W30" i="5"/>
  <c r="W226" i="5"/>
  <c r="W324" i="5"/>
  <c r="W169" i="5"/>
  <c r="W273" i="5"/>
  <c r="W286" i="5"/>
  <c r="W276" i="5"/>
  <c r="W318" i="5"/>
  <c r="W9" i="5"/>
  <c r="W104" i="5"/>
  <c r="W207" i="5"/>
  <c r="W317" i="5"/>
  <c r="W48" i="5"/>
  <c r="W259" i="5"/>
  <c r="W193" i="5"/>
  <c r="W83" i="5"/>
  <c r="W258" i="5"/>
  <c r="W181" i="5"/>
  <c r="W171" i="5"/>
  <c r="W288" i="5"/>
  <c r="W214" i="5"/>
  <c r="W177" i="5"/>
  <c r="W354" i="5"/>
  <c r="W54" i="5"/>
  <c r="W205" i="5"/>
  <c r="W20" i="5"/>
  <c r="W147" i="5"/>
  <c r="W114" i="5"/>
  <c r="W227" i="5"/>
  <c r="W277" i="5"/>
  <c r="W89" i="5"/>
  <c r="W307" i="5"/>
  <c r="W283" i="5"/>
  <c r="W32" i="5"/>
  <c r="W25" i="5"/>
  <c r="W64" i="5"/>
  <c r="W235" i="5"/>
  <c r="W325" i="5"/>
  <c r="W263" i="5"/>
  <c r="W176" i="5"/>
  <c r="W170" i="5"/>
  <c r="W348" i="5"/>
  <c r="W287" i="5"/>
  <c r="W225" i="5"/>
  <c r="W53" i="5"/>
  <c r="W210" i="5"/>
  <c r="W198" i="5"/>
  <c r="W218" i="5"/>
  <c r="W344" i="5"/>
  <c r="W335" i="5"/>
  <c r="W166" i="5"/>
  <c r="W319" i="5"/>
  <c r="W19" i="5"/>
  <c r="W270" i="5"/>
  <c r="W274" i="5"/>
  <c r="W41" i="5"/>
  <c r="W73" i="5"/>
  <c r="W38" i="5"/>
  <c r="W10" i="5"/>
  <c r="W45" i="5"/>
  <c r="W97" i="5"/>
  <c r="W295" i="5"/>
  <c r="W266" i="5"/>
  <c r="W350" i="5"/>
  <c r="W118" i="5"/>
  <c r="W208" i="5"/>
  <c r="W148" i="5"/>
  <c r="W296" i="5"/>
  <c r="W329" i="5"/>
  <c r="W340" i="5"/>
  <c r="W333" i="5"/>
  <c r="W84" i="5"/>
  <c r="W94" i="5"/>
  <c r="W349" i="5"/>
  <c r="W245" i="5"/>
  <c r="W303" i="5"/>
  <c r="W122" i="5"/>
  <c r="W212" i="5"/>
  <c r="W301" i="5"/>
  <c r="W328" i="5"/>
  <c r="W141" i="5"/>
  <c r="W152" i="5"/>
  <c r="W76" i="5"/>
  <c r="W345" i="5"/>
  <c r="W347" i="5"/>
  <c r="W360" i="5"/>
  <c r="W117" i="5"/>
  <c r="W180" i="5"/>
  <c r="W294" i="5"/>
  <c r="W58" i="5"/>
  <c r="W221" i="5"/>
  <c r="W257" i="5"/>
  <c r="W256" i="5"/>
  <c r="W223" i="5"/>
  <c r="W343" i="5"/>
  <c r="W314" i="5"/>
  <c r="W200" i="5"/>
  <c r="W174" i="5"/>
  <c r="W337" i="5"/>
  <c r="W190" i="5"/>
  <c r="W47" i="5"/>
  <c r="W72" i="5"/>
  <c r="W49" i="5"/>
  <c r="W77" i="5"/>
  <c r="W304" i="5"/>
  <c r="W183" i="5"/>
  <c r="W203" i="5"/>
  <c r="W252" i="5"/>
  <c r="W278" i="5"/>
  <c r="W21" i="5"/>
  <c r="W191" i="5"/>
  <c r="W103" i="5"/>
  <c r="W156" i="5"/>
  <c r="W131" i="5"/>
  <c r="W124" i="5"/>
  <c r="W250" i="5"/>
  <c r="W264" i="5"/>
  <c r="W238" i="5"/>
  <c r="W143" i="5"/>
  <c r="W248" i="5"/>
  <c r="W61" i="5"/>
  <c r="W139" i="5"/>
  <c r="W327" i="5"/>
  <c r="W196" i="5"/>
  <c r="W167" i="5"/>
  <c r="W79" i="5"/>
  <c r="W27" i="5"/>
  <c r="W107" i="5"/>
  <c r="W35" i="5"/>
  <c r="W96" i="5"/>
  <c r="W281" i="5"/>
  <c r="W17" i="5"/>
  <c r="W306" i="5"/>
  <c r="W300" i="5"/>
  <c r="W202" i="5"/>
  <c r="W243" i="5"/>
  <c r="W220" i="5"/>
  <c r="W67" i="5"/>
  <c r="W309" i="5"/>
  <c r="W13" i="5"/>
  <c r="W359" i="5"/>
  <c r="W57" i="5"/>
  <c r="W52" i="5"/>
  <c r="W92" i="5"/>
  <c r="W60" i="5"/>
  <c r="W231" i="5"/>
  <c r="W164" i="5"/>
  <c r="W28" i="5"/>
  <c r="W275" i="5"/>
  <c r="W134" i="5"/>
  <c r="W100" i="5"/>
  <c r="W70" i="5"/>
  <c r="W65" i="5"/>
  <c r="W126" i="5"/>
  <c r="W332" i="5"/>
  <c r="W154" i="5"/>
  <c r="W187" i="5"/>
  <c r="W292" i="5"/>
  <c r="W338" i="5"/>
  <c r="W24" i="5"/>
  <c r="W36" i="5"/>
  <c r="W247" i="5"/>
  <c r="W353" i="5"/>
  <c r="W113" i="5"/>
  <c r="W81" i="5"/>
  <c r="W150" i="5"/>
  <c r="W75" i="5"/>
  <c r="W323" i="5"/>
  <c r="W111" i="5"/>
  <c r="W268" i="5"/>
  <c r="W14" i="5"/>
  <c r="W109" i="5"/>
  <c r="W74" i="5"/>
  <c r="W363" i="5"/>
  <c r="W186" i="5"/>
  <c r="W216" i="5"/>
  <c r="W137" i="5"/>
  <c r="W145" i="5"/>
  <c r="W43" i="5"/>
  <c r="W99" i="5"/>
  <c r="W229" i="5"/>
  <c r="W232" i="5"/>
  <c r="W130" i="5"/>
  <c r="W162" i="5"/>
  <c r="W357" i="5"/>
  <c r="W87" i="5"/>
  <c r="W254" i="5"/>
  <c r="W262" i="5"/>
  <c r="T4" i="5" a="1"/>
  <c r="R4" i="5"/>
  <c r="B14" i="6" s="1"/>
  <c r="V4" i="5"/>
  <c r="Q362" i="4"/>
  <c r="N363" i="4"/>
  <c r="P362" i="4"/>
  <c r="R362" i="4" l="1"/>
  <c r="B13" i="6" s="1"/>
  <c r="W5" i="5"/>
  <c r="W4" i="5"/>
  <c r="T4" i="5"/>
  <c r="U4" i="5" s="1"/>
  <c r="U29" i="5"/>
  <c r="U140" i="5"/>
  <c r="U233" i="5"/>
  <c r="U292" i="5"/>
  <c r="U98" i="5"/>
  <c r="U324" i="5"/>
  <c r="U138" i="5"/>
  <c r="U201" i="5"/>
  <c r="U321" i="5"/>
  <c r="U238" i="5"/>
  <c r="U127" i="5"/>
  <c r="U342" i="5"/>
  <c r="U155" i="5"/>
  <c r="U304" i="5"/>
  <c r="U346" i="5"/>
  <c r="U167" i="5"/>
  <c r="U288" i="5"/>
  <c r="U329" i="5"/>
  <c r="U310" i="5"/>
  <c r="U263" i="5"/>
  <c r="U191" i="5"/>
  <c r="U334" i="5"/>
  <c r="U147" i="5"/>
  <c r="U296" i="5"/>
  <c r="U338" i="5"/>
  <c r="U159" i="5"/>
  <c r="U262" i="5"/>
  <c r="U268" i="5"/>
  <c r="U316" i="5"/>
  <c r="U143" i="5"/>
  <c r="U59" i="5"/>
  <c r="U302" i="5"/>
  <c r="U63" i="5"/>
  <c r="U160" i="5"/>
  <c r="U363" i="5"/>
  <c r="U113" i="5"/>
  <c r="U235" i="5"/>
  <c r="U311" i="5"/>
  <c r="U195" i="5"/>
  <c r="U164" i="5"/>
  <c r="U245" i="5"/>
  <c r="U222" i="5"/>
  <c r="U341" i="5"/>
  <c r="U92" i="5"/>
  <c r="U88" i="5"/>
  <c r="U299" i="5"/>
  <c r="U49" i="5"/>
  <c r="U247" i="5"/>
  <c r="U265" i="5"/>
  <c r="U187" i="5"/>
  <c r="U157" i="5"/>
  <c r="U30" i="5"/>
  <c r="U257" i="5"/>
  <c r="U232" i="5"/>
  <c r="U80" i="5"/>
  <c r="U109" i="5"/>
  <c r="U192" i="5"/>
  <c r="U179" i="5"/>
  <c r="U146" i="5"/>
  <c r="U165" i="5"/>
  <c r="U317" i="5"/>
  <c r="U298" i="5"/>
  <c r="U32" i="5"/>
  <c r="U354" i="5"/>
  <c r="U207" i="5"/>
  <c r="U225" i="5"/>
  <c r="U258" i="5"/>
  <c r="U264" i="5"/>
  <c r="U197" i="5"/>
  <c r="U176" i="5"/>
  <c r="U356" i="5"/>
  <c r="U55" i="5"/>
  <c r="U38" i="5"/>
  <c r="U99" i="5"/>
  <c r="U54" i="5"/>
  <c r="U189" i="5"/>
  <c r="U161" i="5"/>
  <c r="U248" i="5"/>
  <c r="U200" i="5"/>
  <c r="U351" i="5"/>
  <c r="U260" i="5"/>
  <c r="U243" i="5"/>
  <c r="U305" i="5"/>
  <c r="U85" i="5"/>
  <c r="U229" i="5"/>
  <c r="U333" i="5"/>
  <c r="U144" i="5"/>
  <c r="U203" i="5"/>
  <c r="U244" i="5"/>
  <c r="U128" i="5"/>
  <c r="U322" i="5"/>
  <c r="U37" i="5"/>
  <c r="U106" i="5"/>
  <c r="U313" i="5"/>
  <c r="U216" i="5"/>
  <c r="U76" i="5"/>
  <c r="U169" i="5"/>
  <c r="U228" i="5"/>
  <c r="U34" i="5"/>
  <c r="U331" i="5"/>
  <c r="U215" i="5"/>
  <c r="U280" i="5"/>
  <c r="U129" i="5"/>
  <c r="U28" i="5"/>
  <c r="U301" i="5"/>
  <c r="U278" i="5"/>
  <c r="U91" i="5"/>
  <c r="U198" i="5"/>
  <c r="U282" i="5"/>
  <c r="U103" i="5"/>
  <c r="U267" i="5"/>
  <c r="U73" i="5"/>
  <c r="U100" i="5"/>
  <c r="U96" i="5"/>
  <c r="U293" i="5"/>
  <c r="U270" i="5"/>
  <c r="U83" i="5"/>
  <c r="U190" i="5"/>
  <c r="U274" i="5"/>
  <c r="U95" i="5"/>
  <c r="U116" i="5"/>
  <c r="U117" i="5"/>
  <c r="U44" i="5"/>
  <c r="U65" i="5"/>
  <c r="U285" i="5"/>
  <c r="U125" i="5"/>
  <c r="U291" i="5"/>
  <c r="U57" i="5"/>
  <c r="U70" i="5"/>
  <c r="U193" i="5"/>
  <c r="U281" i="5"/>
  <c r="U75" i="5"/>
  <c r="U253" i="5"/>
  <c r="U107" i="5"/>
  <c r="U119" i="5"/>
  <c r="U114" i="5"/>
  <c r="U350" i="5"/>
  <c r="U175" i="5"/>
  <c r="U314" i="5"/>
  <c r="U272" i="5"/>
  <c r="U284" i="5"/>
  <c r="U326" i="5"/>
  <c r="U230" i="5"/>
  <c r="U217" i="5"/>
  <c r="U209" i="5"/>
  <c r="U186" i="5"/>
  <c r="U43" i="5"/>
  <c r="U53" i="5"/>
  <c r="U286" i="5"/>
  <c r="U290" i="5"/>
  <c r="U240" i="5"/>
  <c r="U208" i="5"/>
  <c r="U359" i="5"/>
  <c r="U335" i="5"/>
  <c r="U60" i="5"/>
  <c r="U93" i="5"/>
  <c r="U40" i="5"/>
  <c r="U212" i="5"/>
  <c r="U130" i="5"/>
  <c r="U348" i="5"/>
  <c r="U47" i="5"/>
  <c r="U135" i="5"/>
  <c r="U347" i="5"/>
  <c r="U295" i="5"/>
  <c r="U269" i="5"/>
  <c r="U89" i="5"/>
  <c r="U352" i="5"/>
  <c r="U71" i="5"/>
  <c r="U241" i="5"/>
  <c r="U199" i="5"/>
  <c r="U152" i="5"/>
  <c r="U355" i="5"/>
  <c r="U105" i="5"/>
  <c r="U227" i="5"/>
  <c r="U303" i="5"/>
  <c r="U273" i="5"/>
  <c r="U349" i="5"/>
  <c r="U259" i="5"/>
  <c r="U166" i="5"/>
  <c r="U51" i="5"/>
  <c r="U221" i="5"/>
  <c r="U340" i="5"/>
  <c r="U353" i="5"/>
  <c r="U134" i="5"/>
  <c r="U218" i="5"/>
  <c r="U39" i="5"/>
  <c r="U266" i="5"/>
  <c r="U110" i="5"/>
  <c r="U123" i="5"/>
  <c r="U156" i="5"/>
  <c r="U213" i="5"/>
  <c r="U332" i="5"/>
  <c r="U345" i="5"/>
  <c r="U126" i="5"/>
  <c r="U210" i="5"/>
  <c r="U31" i="5"/>
  <c r="U139" i="5"/>
  <c r="U202" i="5"/>
  <c r="U67" i="5"/>
  <c r="U261" i="5"/>
  <c r="U102" i="5"/>
  <c r="U115" i="5"/>
  <c r="U52" i="5"/>
  <c r="U358" i="5"/>
  <c r="U171" i="5"/>
  <c r="U320" i="5"/>
  <c r="U362" i="5"/>
  <c r="U183" i="5"/>
  <c r="U344" i="5"/>
  <c r="U141" i="5"/>
  <c r="U41" i="5"/>
  <c r="U251" i="5"/>
  <c r="U289" i="5"/>
  <c r="U77" i="5"/>
  <c r="U188" i="5"/>
  <c r="U357" i="5"/>
  <c r="U137" i="5"/>
  <c r="U294" i="5"/>
  <c r="U336" i="5"/>
  <c r="U163" i="5"/>
  <c r="U182" i="5"/>
  <c r="U94" i="5"/>
  <c r="U90" i="5"/>
  <c r="U249" i="5"/>
  <c r="U276" i="5"/>
  <c r="U279" i="5"/>
  <c r="U237" i="5"/>
  <c r="U234" i="5"/>
  <c r="U220" i="5"/>
  <c r="U206" i="5"/>
  <c r="U111" i="5"/>
  <c r="U58" i="5"/>
  <c r="U283" i="5"/>
  <c r="U252" i="5"/>
  <c r="U153" i="5"/>
  <c r="U145" i="5"/>
  <c r="U327" i="5"/>
  <c r="U86" i="5"/>
  <c r="U250" i="5"/>
  <c r="U361" i="5"/>
  <c r="U226" i="5"/>
  <c r="U246" i="5"/>
  <c r="U97" i="5"/>
  <c r="U254" i="5"/>
  <c r="U339" i="5"/>
  <c r="U256" i="5"/>
  <c r="U308" i="5"/>
  <c r="U148" i="5"/>
  <c r="U48" i="5"/>
  <c r="U133" i="5"/>
  <c r="U204" i="5"/>
  <c r="U297" i="5"/>
  <c r="U78" i="5"/>
  <c r="U162" i="5"/>
  <c r="U120" i="5"/>
  <c r="U330" i="5"/>
  <c r="U131" i="5"/>
  <c r="U315" i="5"/>
  <c r="U168" i="5"/>
  <c r="U50" i="5"/>
  <c r="U72" i="5"/>
  <c r="U219" i="5"/>
  <c r="U33" i="5"/>
  <c r="U205" i="5"/>
  <c r="U231" i="5"/>
  <c r="U337" i="5"/>
  <c r="U323" i="5"/>
  <c r="U69" i="5"/>
  <c r="U122" i="5"/>
  <c r="U178" i="5"/>
  <c r="U64" i="5"/>
  <c r="U211" i="5"/>
  <c r="U360" i="5"/>
  <c r="U181" i="5"/>
  <c r="U223" i="5"/>
  <c r="U56" i="5"/>
  <c r="U118" i="5"/>
  <c r="U112" i="5"/>
  <c r="U66" i="5"/>
  <c r="U36" i="5"/>
  <c r="U45" i="5"/>
  <c r="U319" i="5"/>
  <c r="U224" i="5"/>
  <c r="U84" i="5"/>
  <c r="U177" i="5"/>
  <c r="U236" i="5"/>
  <c r="U42" i="5"/>
  <c r="U172" i="5"/>
  <c r="U104" i="5"/>
  <c r="U325" i="5"/>
  <c r="U121" i="5"/>
  <c r="U27" i="5"/>
  <c r="U61" i="5"/>
  <c r="U239" i="5"/>
  <c r="U81" i="5"/>
  <c r="U173" i="5"/>
  <c r="U194" i="5"/>
  <c r="U196" i="5"/>
  <c r="U154" i="5"/>
  <c r="U343" i="5"/>
  <c r="U101" i="5"/>
  <c r="U62" i="5"/>
  <c r="U74" i="5"/>
  <c r="U185" i="5"/>
  <c r="U214" i="5"/>
  <c r="U46" i="5"/>
  <c r="U312" i="5"/>
  <c r="U184" i="5"/>
  <c r="U132" i="5"/>
  <c r="U151" i="5"/>
  <c r="U124" i="5"/>
  <c r="U82" i="5"/>
  <c r="U174" i="5"/>
  <c r="U158" i="5"/>
  <c r="U150" i="5"/>
  <c r="U255" i="5"/>
  <c r="U309" i="5"/>
  <c r="U318" i="5"/>
  <c r="U68" i="5"/>
  <c r="U180" i="5"/>
  <c r="U328" i="5"/>
  <c r="U275" i="5"/>
  <c r="U87" i="5"/>
  <c r="U149" i="5"/>
  <c r="U170" i="5"/>
  <c r="U307" i="5"/>
  <c r="U142" i="5"/>
  <c r="U108" i="5"/>
  <c r="U306" i="5"/>
  <c r="U35" i="5"/>
  <c r="U79" i="5"/>
  <c r="U136" i="5"/>
  <c r="U287" i="5"/>
  <c r="U277" i="5"/>
  <c r="U242" i="5"/>
  <c r="U300" i="5"/>
  <c r="U271" i="5"/>
  <c r="U26" i="5"/>
  <c r="U15" i="5"/>
  <c r="U16" i="5"/>
  <c r="U10" i="5"/>
  <c r="U11" i="5"/>
  <c r="U21" i="5"/>
  <c r="U24" i="5"/>
  <c r="U8" i="5"/>
  <c r="U20" i="5"/>
  <c r="U7" i="5"/>
  <c r="U14" i="5"/>
  <c r="U17" i="5"/>
  <c r="U9" i="5"/>
  <c r="U18" i="5"/>
  <c r="U23" i="5"/>
  <c r="U12" i="5"/>
  <c r="U6" i="5"/>
  <c r="U19" i="5"/>
  <c r="U22" i="5"/>
  <c r="U25" i="5"/>
  <c r="U13" i="5"/>
  <c r="P363" i="4"/>
  <c r="Q363" i="4"/>
  <c r="Z2" i="5" l="1" a="1"/>
  <c r="Z2" i="5" s="1"/>
  <c r="AB2" i="5" s="1"/>
  <c r="U5" i="5"/>
  <c r="Z3" i="5" s="1" a="1"/>
  <c r="Z3" i="5" s="1"/>
  <c r="T4" i="4" a="1"/>
  <c r="T4" i="4" s="1"/>
  <c r="V4" i="4" a="1"/>
  <c r="V4" i="4" s="1"/>
  <c r="W5" i="4" s="1"/>
  <c r="R363" i="4"/>
  <c r="U175" i="4" l="1"/>
  <c r="U95" i="4"/>
  <c r="U22" i="4"/>
  <c r="U166" i="4"/>
  <c r="U93" i="4"/>
  <c r="U173" i="4"/>
  <c r="U39" i="4"/>
  <c r="U17" i="4"/>
  <c r="U38" i="4"/>
  <c r="U83" i="4"/>
  <c r="U43" i="4"/>
  <c r="U8" i="4"/>
  <c r="U113" i="4"/>
  <c r="U27" i="4"/>
  <c r="U31" i="4"/>
  <c r="U337" i="4"/>
  <c r="U359" i="4"/>
  <c r="U203" i="4"/>
  <c r="U199" i="4"/>
  <c r="U115" i="4"/>
  <c r="U317" i="4"/>
  <c r="U65" i="4"/>
  <c r="U252" i="4"/>
  <c r="U72" i="4"/>
  <c r="U111" i="4"/>
  <c r="U140" i="4"/>
  <c r="U7" i="4"/>
  <c r="U339" i="4"/>
  <c r="U57" i="4"/>
  <c r="U290" i="4"/>
  <c r="U241" i="4"/>
  <c r="U82" i="4"/>
  <c r="U183" i="4"/>
  <c r="U303" i="4"/>
  <c r="U54" i="4"/>
  <c r="U298" i="4"/>
  <c r="U13" i="4"/>
  <c r="U208" i="4"/>
  <c r="U153" i="4"/>
  <c r="U131" i="4"/>
  <c r="U66" i="4"/>
  <c r="U169" i="4"/>
  <c r="U333" i="4"/>
  <c r="U58" i="4"/>
  <c r="U12" i="4"/>
  <c r="U122" i="4"/>
  <c r="U207" i="4"/>
  <c r="U45" i="4"/>
  <c r="U21" i="4"/>
  <c r="U99" i="4"/>
  <c r="U167" i="4"/>
  <c r="U91" i="4"/>
  <c r="U171" i="4"/>
  <c r="U87" i="4"/>
  <c r="U79" i="4"/>
  <c r="U286" i="4"/>
  <c r="U197" i="4"/>
  <c r="U292" i="4"/>
  <c r="U100" i="4"/>
  <c r="U325" i="4"/>
  <c r="U243" i="4"/>
  <c r="U315" i="4"/>
  <c r="U168" i="4"/>
  <c r="U35" i="4"/>
  <c r="U362" i="4"/>
  <c r="U342" i="4"/>
  <c r="U268" i="4"/>
  <c r="U302" i="4"/>
  <c r="U255" i="4"/>
  <c r="U124" i="4"/>
  <c r="U296" i="4"/>
  <c r="U360" i="4"/>
  <c r="U128" i="4"/>
  <c r="U139" i="4"/>
  <c r="U120" i="4"/>
  <c r="U226" i="4"/>
  <c r="U272" i="4"/>
  <c r="U116" i="4"/>
  <c r="U323" i="4"/>
  <c r="U215" i="4"/>
  <c r="U311" i="4"/>
  <c r="U61" i="4"/>
  <c r="U313" i="4"/>
  <c r="U172" i="4"/>
  <c r="U125" i="4"/>
  <c r="U260" i="4"/>
  <c r="U14" i="4"/>
  <c r="U284" i="4"/>
  <c r="U80" i="4"/>
  <c r="U236" i="4"/>
  <c r="U19" i="4"/>
  <c r="U109" i="4"/>
  <c r="U223" i="4"/>
  <c r="U97" i="4"/>
  <c r="U118" i="4"/>
  <c r="U98" i="4"/>
  <c r="U138" i="4"/>
  <c r="U265" i="4"/>
  <c r="U356" i="4"/>
  <c r="U261" i="4"/>
  <c r="U257" i="4"/>
  <c r="U184" i="4"/>
  <c r="U48" i="4"/>
  <c r="U32" i="4"/>
  <c r="U81" i="4"/>
  <c r="U151" i="4"/>
  <c r="U149" i="4"/>
  <c r="U104" i="4"/>
  <c r="U237" i="4"/>
  <c r="U88" i="4"/>
  <c r="U324" i="4"/>
  <c r="U176" i="4"/>
  <c r="U76" i="4"/>
  <c r="U201" i="4"/>
  <c r="U353" i="4"/>
  <c r="U152" i="4"/>
  <c r="U308" i="4"/>
  <c r="U25" i="4"/>
  <c r="U254" i="4"/>
  <c r="U288" i="4"/>
  <c r="U266" i="4"/>
  <c r="U319" i="4"/>
  <c r="U155" i="4"/>
  <c r="U117" i="4"/>
  <c r="U119" i="4"/>
  <c r="U52" i="4"/>
  <c r="U56" i="4"/>
  <c r="U264" i="4"/>
  <c r="U227" i="4"/>
  <c r="U59" i="4"/>
  <c r="U9" i="4"/>
  <c r="U200" i="4"/>
  <c r="U344" i="4"/>
  <c r="U69" i="4"/>
  <c r="U256" i="4"/>
  <c r="U191" i="4"/>
  <c r="U55" i="4"/>
  <c r="U68" i="4"/>
  <c r="U16" i="4"/>
  <c r="U358" i="4"/>
  <c r="U181" i="4"/>
  <c r="U287" i="4"/>
  <c r="U141" i="4"/>
  <c r="U305" i="4"/>
  <c r="U301" i="4"/>
  <c r="U331" i="4"/>
  <c r="U161" i="4"/>
  <c r="U114" i="4"/>
  <c r="U163" i="4"/>
  <c r="U278" i="4"/>
  <c r="U233" i="4"/>
  <c r="U196" i="4"/>
  <c r="U222" i="4"/>
  <c r="U170" i="4"/>
  <c r="U49" i="4"/>
  <c r="U142" i="4"/>
  <c r="U160" i="4"/>
  <c r="U209" i="4"/>
  <c r="U70" i="4"/>
  <c r="U148" i="4"/>
  <c r="U280" i="4"/>
  <c r="U62" i="4"/>
  <c r="U295" i="4"/>
  <c r="U221" i="4"/>
  <c r="U216" i="4"/>
  <c r="U348" i="4"/>
  <c r="U276" i="4"/>
  <c r="U355" i="4"/>
  <c r="U310" i="4"/>
  <c r="U190" i="4"/>
  <c r="U307" i="4"/>
  <c r="U85" i="4"/>
  <c r="U204" i="4"/>
  <c r="U212" i="4"/>
  <c r="U225" i="4"/>
  <c r="U245" i="4"/>
  <c r="U36" i="4"/>
  <c r="U20" i="4"/>
  <c r="U15" i="4"/>
  <c r="U219" i="4"/>
  <c r="U33" i="4"/>
  <c r="U291" i="4"/>
  <c r="U234" i="4"/>
  <c r="U126" i="4"/>
  <c r="U228" i="4"/>
  <c r="U10" i="4"/>
  <c r="U338" i="4"/>
  <c r="U71" i="4"/>
  <c r="U231" i="4"/>
  <c r="U92" i="4"/>
  <c r="U135" i="4"/>
  <c r="U269" i="4"/>
  <c r="U334" i="4"/>
  <c r="U46" i="4"/>
  <c r="U150" i="4"/>
  <c r="U110" i="4"/>
  <c r="U220" i="4"/>
  <c r="U101" i="4"/>
  <c r="U285" i="4"/>
  <c r="U28" i="4"/>
  <c r="U279" i="4"/>
  <c r="U194" i="4"/>
  <c r="U147" i="4"/>
  <c r="U26" i="4"/>
  <c r="U158" i="4"/>
  <c r="U84" i="4"/>
  <c r="U330" i="4"/>
  <c r="U78" i="4"/>
  <c r="U349" i="4"/>
  <c r="U164" i="4"/>
  <c r="U312" i="4"/>
  <c r="U105" i="4"/>
  <c r="U195" i="4"/>
  <c r="U328" i="4"/>
  <c r="U297" i="4"/>
  <c r="U270" i="4"/>
  <c r="U242" i="4"/>
  <c r="U322" i="4"/>
  <c r="U193" i="4"/>
  <c r="U275" i="4"/>
  <c r="U347" i="4"/>
  <c r="U294" i="4"/>
  <c r="U218" i="4"/>
  <c r="U136" i="4"/>
  <c r="U53" i="4"/>
  <c r="U306" i="4"/>
  <c r="U11" i="4"/>
  <c r="U44" i="4"/>
  <c r="U34" i="4"/>
  <c r="U145" i="4"/>
  <c r="U304" i="4"/>
  <c r="U332" i="4"/>
  <c r="U186" i="4"/>
  <c r="U89" i="4"/>
  <c r="U86" i="4"/>
  <c r="U336" i="4"/>
  <c r="U178" i="4"/>
  <c r="U182" i="4"/>
  <c r="U202" i="4"/>
  <c r="U283" i="4"/>
  <c r="U354" i="4"/>
  <c r="U77" i="4"/>
  <c r="U102" i="4"/>
  <c r="U235" i="4"/>
  <c r="U309" i="4"/>
  <c r="U18" i="4"/>
  <c r="U112" i="4"/>
  <c r="U143" i="4"/>
  <c r="U258" i="4"/>
  <c r="U326" i="4"/>
  <c r="U41" i="4"/>
  <c r="U133" i="4"/>
  <c r="U217" i="4"/>
  <c r="U206" i="4"/>
  <c r="U351" i="4"/>
  <c r="U74" i="4"/>
  <c r="U156" i="4"/>
  <c r="U250" i="4"/>
  <c r="U247" i="4"/>
  <c r="U6" i="4"/>
  <c r="U107" i="4"/>
  <c r="U189" i="4"/>
  <c r="U282" i="4"/>
  <c r="U345" i="4"/>
  <c r="U47" i="4"/>
  <c r="U340" i="4"/>
  <c r="U357" i="4"/>
  <c r="U320" i="4"/>
  <c r="U289" i="4"/>
  <c r="U262" i="4"/>
  <c r="U232" i="4"/>
  <c r="U314" i="4"/>
  <c r="U327" i="4"/>
  <c r="U267" i="4"/>
  <c r="U179" i="4"/>
  <c r="U180" i="4"/>
  <c r="U50" i="4"/>
  <c r="U159" i="4"/>
  <c r="U238" i="4"/>
  <c r="U51" i="4"/>
  <c r="U103" i="4"/>
  <c r="U174" i="4"/>
  <c r="U224" i="4"/>
  <c r="U137" i="4"/>
  <c r="U40" i="4"/>
  <c r="U177" i="4"/>
  <c r="U96" i="4"/>
  <c r="U185" i="4"/>
  <c r="U75" i="4"/>
  <c r="U157" i="4"/>
  <c r="U251" i="4"/>
  <c r="U321" i="4"/>
  <c r="U23" i="4"/>
  <c r="U108" i="4"/>
  <c r="U192" i="4"/>
  <c r="U274" i="4"/>
  <c r="U346" i="4"/>
  <c r="U67" i="4"/>
  <c r="U94" i="4"/>
  <c r="U213" i="4"/>
  <c r="U293" i="4"/>
  <c r="U363" i="4"/>
  <c r="U90" i="4"/>
  <c r="U127" i="4"/>
  <c r="U248" i="4"/>
  <c r="U318" i="4"/>
  <c r="U29" i="4"/>
  <c r="U123" i="4"/>
  <c r="U205" i="4"/>
  <c r="U198" i="4"/>
  <c r="U343" i="4"/>
  <c r="U64" i="4"/>
  <c r="U146" i="4"/>
  <c r="U240" i="4"/>
  <c r="U239" i="4"/>
  <c r="U5" i="4"/>
  <c r="U42" i="4"/>
  <c r="U335" i="4"/>
  <c r="U273" i="4"/>
  <c r="U329" i="4"/>
  <c r="U187" i="4"/>
  <c r="U144" i="4"/>
  <c r="U246" i="4"/>
  <c r="U352" i="4"/>
  <c r="U210" i="4"/>
  <c r="U214" i="4"/>
  <c r="U130" i="4"/>
  <c r="U300" i="4"/>
  <c r="U229" i="4"/>
  <c r="U132" i="4"/>
  <c r="U259" i="4"/>
  <c r="U253" i="4"/>
  <c r="U263" i="4"/>
  <c r="U350" i="4"/>
  <c r="U73" i="4"/>
  <c r="U165" i="4"/>
  <c r="U249" i="4"/>
  <c r="U230" i="4"/>
  <c r="U24" i="4"/>
  <c r="U106" i="4"/>
  <c r="U188" i="4"/>
  <c r="U281" i="4"/>
  <c r="U271" i="4"/>
  <c r="U30" i="4"/>
  <c r="U129" i="4"/>
  <c r="U211" i="4"/>
  <c r="U299" i="4"/>
  <c r="U361" i="4"/>
  <c r="U63" i="4"/>
  <c r="U162" i="4"/>
  <c r="U244" i="4"/>
  <c r="U316" i="4"/>
  <c r="U37" i="4"/>
  <c r="U121" i="4"/>
  <c r="U134" i="4"/>
  <c r="U277" i="4"/>
  <c r="U341" i="4"/>
  <c r="U60" i="4"/>
  <c r="U154" i="4"/>
  <c r="W263" i="4"/>
  <c r="W100" i="4"/>
  <c r="W69" i="4"/>
  <c r="W117" i="4"/>
  <c r="W329" i="4"/>
  <c r="W173" i="4"/>
  <c r="W87" i="4"/>
  <c r="W273" i="4"/>
  <c r="W46" i="4"/>
  <c r="W39" i="4"/>
  <c r="W289" i="4"/>
  <c r="W113" i="4"/>
  <c r="W298" i="4"/>
  <c r="W324" i="4"/>
  <c r="W239" i="4"/>
  <c r="W264" i="4"/>
  <c r="W342" i="4"/>
  <c r="W147" i="4"/>
  <c r="W105" i="4"/>
  <c r="W6" i="4"/>
  <c r="W108" i="4"/>
  <c r="W149" i="4"/>
  <c r="W284" i="4"/>
  <c r="W291" i="4"/>
  <c r="W118" i="4"/>
  <c r="W185" i="4"/>
  <c r="W207" i="4"/>
  <c r="W211" i="4"/>
  <c r="W164" i="4"/>
  <c r="W318" i="4"/>
  <c r="W34" i="4"/>
  <c r="W14" i="4"/>
  <c r="W183" i="4"/>
  <c r="W224" i="4"/>
  <c r="W358" i="4"/>
  <c r="W254" i="4"/>
  <c r="W115" i="4"/>
  <c r="W36" i="4"/>
  <c r="W156" i="4"/>
  <c r="W240" i="4"/>
  <c r="W62" i="4"/>
  <c r="W65" i="4"/>
  <c r="W261" i="4"/>
  <c r="W212" i="4"/>
  <c r="W304" i="4"/>
  <c r="W68" i="4"/>
  <c r="W213" i="4"/>
  <c r="W363" i="4"/>
  <c r="W267" i="4"/>
  <c r="W204" i="4"/>
  <c r="W165" i="4"/>
  <c r="W131" i="4"/>
  <c r="W189" i="4"/>
  <c r="W170" i="4"/>
  <c r="W146" i="4"/>
  <c r="W51" i="4"/>
  <c r="W98" i="4"/>
  <c r="W179" i="4"/>
  <c r="W24" i="4"/>
  <c r="W252" i="4"/>
  <c r="W313" i="4"/>
  <c r="W53" i="4"/>
  <c r="W346" i="4"/>
  <c r="W109" i="4"/>
  <c r="W345" i="4"/>
  <c r="W99" i="4"/>
  <c r="W61" i="4"/>
  <c r="W243" i="4"/>
  <c r="W199" i="4"/>
  <c r="W45" i="4"/>
  <c r="W129" i="4"/>
  <c r="W280" i="4"/>
  <c r="W94" i="4"/>
  <c r="W241" i="4"/>
  <c r="W335" i="4"/>
  <c r="W78" i="4"/>
  <c r="W322" i="4"/>
  <c r="W349" i="4"/>
  <c r="W30" i="4"/>
  <c r="W220" i="4"/>
  <c r="W128" i="4"/>
  <c r="W196" i="4"/>
  <c r="W153" i="4"/>
  <c r="W93" i="4"/>
  <c r="W102" i="4"/>
  <c r="W90" i="4"/>
  <c r="W92" i="4"/>
  <c r="W176" i="4"/>
  <c r="W152" i="4"/>
  <c r="W288" i="4"/>
  <c r="W133" i="4"/>
  <c r="W148" i="4"/>
  <c r="W232" i="4"/>
  <c r="W271" i="4"/>
  <c r="W347" i="4"/>
  <c r="W74" i="4"/>
  <c r="W355" i="4"/>
  <c r="W140" i="4"/>
  <c r="W101" i="4"/>
  <c r="W77" i="4"/>
  <c r="W315" i="4"/>
  <c r="W238" i="4"/>
  <c r="W103" i="4"/>
  <c r="W27" i="4"/>
  <c r="W159" i="4"/>
  <c r="W319" i="4"/>
  <c r="W58" i="4"/>
  <c r="W135" i="4"/>
  <c r="W125" i="4"/>
  <c r="W81" i="4"/>
  <c r="W124" i="4"/>
  <c r="W95" i="4"/>
  <c r="W63" i="4"/>
  <c r="W23" i="4"/>
  <c r="W310" i="4"/>
  <c r="W10" i="4"/>
  <c r="W25" i="4"/>
  <c r="W57" i="4"/>
  <c r="W274" i="4"/>
  <c r="W31" i="4"/>
  <c r="W161" i="4"/>
  <c r="W171" i="4"/>
  <c r="W122" i="4"/>
  <c r="W132" i="4"/>
  <c r="W292" i="4"/>
  <c r="W22" i="4"/>
  <c r="W328" i="4"/>
  <c r="W340" i="4"/>
  <c r="W360" i="4"/>
  <c r="W172" i="4"/>
  <c r="W296" i="4"/>
  <c r="W66" i="4"/>
  <c r="W247" i="4"/>
  <c r="W178" i="4"/>
  <c r="W312" i="4"/>
  <c r="W276" i="4"/>
  <c r="W144" i="4"/>
  <c r="W268" i="4"/>
  <c r="W234" i="4"/>
  <c r="W320" i="4"/>
  <c r="W235" i="4"/>
  <c r="W201" i="4"/>
  <c r="W297" i="4"/>
  <c r="W248" i="4"/>
  <c r="W17" i="4"/>
  <c r="W300" i="4"/>
  <c r="W303" i="4"/>
  <c r="W162" i="4"/>
  <c r="W60" i="4"/>
  <c r="W333" i="4"/>
  <c r="W356" i="4"/>
  <c r="W253" i="4"/>
  <c r="W257" i="4"/>
  <c r="W32" i="4"/>
  <c r="W325" i="4"/>
  <c r="W339" i="4"/>
  <c r="W167" i="4"/>
  <c r="W181" i="4"/>
  <c r="W75" i="4"/>
  <c r="W269" i="4"/>
  <c r="W350" i="4"/>
  <c r="W223" i="4"/>
  <c r="W237" i="4"/>
  <c r="W29" i="4"/>
  <c r="W52" i="4"/>
  <c r="W33" i="4"/>
  <c r="W186" i="4"/>
  <c r="W151" i="4"/>
  <c r="W37" i="4"/>
  <c r="W174" i="4"/>
  <c r="W294" i="4"/>
  <c r="W50" i="4"/>
  <c r="W299" i="4"/>
  <c r="W326" i="4"/>
  <c r="W13" i="4"/>
  <c r="W89" i="4"/>
  <c r="W255" i="4"/>
  <c r="W197" i="4"/>
  <c r="W120" i="4"/>
  <c r="W182" i="4"/>
  <c r="W141" i="4"/>
  <c r="W19" i="4"/>
  <c r="W233" i="4"/>
  <c r="W48" i="4"/>
  <c r="W104" i="4"/>
  <c r="W163" i="4"/>
  <c r="W190" i="4"/>
  <c r="W316" i="4"/>
  <c r="W21" i="4"/>
  <c r="W336" i="4"/>
  <c r="W40" i="4"/>
  <c r="W193" i="4"/>
  <c r="W158" i="4"/>
  <c r="W317" i="4"/>
  <c r="W169" i="4"/>
  <c r="W258" i="4"/>
  <c r="W80" i="4"/>
  <c r="W191" i="4"/>
  <c r="W217" i="4"/>
  <c r="W256" i="4"/>
  <c r="W251" i="4"/>
  <c r="W195" i="4"/>
  <c r="W348" i="4"/>
  <c r="W231" i="4"/>
  <c r="W86" i="4"/>
  <c r="W245" i="4"/>
  <c r="W260" i="4"/>
  <c r="W282" i="4"/>
  <c r="W85" i="4"/>
  <c r="W136" i="4"/>
  <c r="W166" i="4"/>
  <c r="W82" i="4"/>
  <c r="W41" i="4"/>
  <c r="W287" i="4"/>
  <c r="W142" i="4"/>
  <c r="W301" i="4"/>
  <c r="W139" i="4"/>
  <c r="W285" i="4"/>
  <c r="W71" i="4"/>
  <c r="W308" i="4"/>
  <c r="W42" i="4"/>
  <c r="W306" i="4"/>
  <c r="W114" i="4"/>
  <c r="W35" i="4"/>
  <c r="W242" i="4"/>
  <c r="W154" i="4"/>
  <c r="W332" i="4"/>
  <c r="W215" i="4"/>
  <c r="W70" i="4"/>
  <c r="W229" i="4"/>
  <c r="W123" i="4"/>
  <c r="W11" i="4"/>
  <c r="W314" i="4"/>
  <c r="W54" i="4"/>
  <c r="W180" i="4"/>
  <c r="W43" i="4"/>
  <c r="W192" i="4"/>
  <c r="W47" i="4"/>
  <c r="W184" i="4"/>
  <c r="W219" i="4"/>
  <c r="W88" i="4"/>
  <c r="W7" i="4"/>
  <c r="W138" i="4"/>
  <c r="W72" i="4"/>
  <c r="W16" i="4"/>
  <c r="W362" i="4"/>
  <c r="W175" i="4"/>
  <c r="W91" i="4"/>
  <c r="W28" i="4"/>
  <c r="W278" i="4"/>
  <c r="W112" i="4"/>
  <c r="W281" i="4"/>
  <c r="W157" i="4"/>
  <c r="W246" i="4"/>
  <c r="W116" i="4"/>
  <c r="W236" i="4"/>
  <c r="W137" i="4"/>
  <c r="W225" i="4"/>
  <c r="W84" i="4"/>
  <c r="W334" i="4"/>
  <c r="W168" i="4"/>
  <c r="W337" i="4"/>
  <c r="W15" i="4"/>
  <c r="W344" i="4"/>
  <c r="W73" i="4"/>
  <c r="W200" i="4"/>
  <c r="W38" i="4"/>
  <c r="W111" i="4"/>
  <c r="W290" i="4"/>
  <c r="W321" i="4"/>
  <c r="W130" i="4"/>
  <c r="W361" i="4"/>
  <c r="W12" i="4"/>
  <c r="W262" i="4"/>
  <c r="W96" i="4"/>
  <c r="W228" i="4"/>
  <c r="W177" i="4"/>
  <c r="W202" i="4"/>
  <c r="W76" i="4"/>
  <c r="W160" i="4"/>
  <c r="W143" i="4"/>
  <c r="W208" i="4"/>
  <c r="W26" i="4"/>
  <c r="W286" i="4"/>
  <c r="W107" i="4"/>
  <c r="W221" i="4"/>
  <c r="W244" i="4"/>
  <c r="W119" i="4"/>
  <c r="W227" i="4"/>
  <c r="W359" i="4"/>
  <c r="W214" i="4"/>
  <c r="W275" i="4"/>
  <c r="W145" i="4"/>
  <c r="W272" i="4"/>
  <c r="W127" i="4"/>
  <c r="W311" i="4"/>
  <c r="W194" i="4"/>
  <c r="W67" i="4"/>
  <c r="W20" i="4"/>
  <c r="W270" i="4"/>
  <c r="W330" i="4"/>
  <c r="W126" i="4"/>
  <c r="W188" i="4"/>
  <c r="W259" i="4"/>
  <c r="W205" i="4"/>
  <c r="W64" i="4"/>
  <c r="W354" i="4"/>
  <c r="W265" i="4"/>
  <c r="W249" i="4"/>
  <c r="W226" i="4"/>
  <c r="W187" i="4"/>
  <c r="W343" i="4"/>
  <c r="W198" i="4"/>
  <c r="W357" i="4"/>
  <c r="W44" i="4"/>
  <c r="W79" i="4"/>
  <c r="W83" i="4"/>
  <c r="W277" i="4"/>
  <c r="W302" i="4"/>
  <c r="W307" i="4"/>
  <c r="W250" i="4"/>
  <c r="W222" i="4"/>
  <c r="W56" i="4"/>
  <c r="W106" i="4"/>
  <c r="W97" i="4"/>
  <c r="W352" i="4"/>
  <c r="W9" i="4"/>
  <c r="W155" i="4"/>
  <c r="W230" i="4"/>
  <c r="W266" i="4"/>
  <c r="W331" i="4"/>
  <c r="W59" i="4"/>
  <c r="W295" i="4"/>
  <c r="W150" i="4"/>
  <c r="W309" i="4"/>
  <c r="W338" i="4"/>
  <c r="W121" i="4"/>
  <c r="W341" i="4"/>
  <c r="W110" i="4"/>
  <c r="W55" i="4"/>
  <c r="W218" i="4"/>
  <c r="W210" i="4"/>
  <c r="W351" i="4"/>
  <c r="W206" i="4"/>
  <c r="W8" i="4"/>
  <c r="W305" i="4"/>
  <c r="W216" i="4"/>
  <c r="W327" i="4"/>
  <c r="W353" i="4"/>
  <c r="W49" i="4"/>
  <c r="W283" i="4"/>
  <c r="W209" i="4"/>
  <c r="W203" i="4"/>
  <c r="W323" i="4"/>
  <c r="W18" i="4"/>
  <c r="W279" i="4"/>
  <c r="W134" i="4"/>
  <c r="W293" i="4"/>
  <c r="W3" i="4"/>
  <c r="W4" i="4"/>
  <c r="U4" i="4" l="1"/>
  <c r="Z4" i="4" s="1" a="1"/>
  <c r="Z4" i="4" s="1"/>
  <c r="B3" i="6" s="1"/>
  <c r="Z3" i="4" a="1"/>
  <c r="Z3" i="4" s="1"/>
  <c r="AB3" i="4" s="1"/>
  <c r="B2" i="6" s="1"/>
  <c r="E2" i="8" l="1"/>
  <c r="B4" i="6"/>
  <c r="B15" i="6" s="1"/>
  <c r="H2" i="8" l="1" a="1"/>
  <c r="H2" i="8" s="1"/>
  <c r="H17" i="8" a="1"/>
  <c r="H17" i="8" s="1"/>
  <c r="H5" i="8" a="1"/>
  <c r="H5" i="8" s="1"/>
  <c r="H20" i="8" a="1"/>
  <c r="H20" i="8" s="1"/>
  <c r="H22" i="8" a="1"/>
  <c r="H22" i="8" s="1"/>
  <c r="H12" i="8" a="1"/>
  <c r="H12" i="8" s="1"/>
  <c r="H10" i="8" a="1"/>
  <c r="H10" i="8" s="1"/>
  <c r="H8" i="8" a="1"/>
  <c r="H8" i="8" s="1"/>
  <c r="H19" i="8" a="1"/>
  <c r="H19" i="8" s="1"/>
  <c r="H18" i="8" a="1"/>
  <c r="H18" i="8" s="1"/>
  <c r="H16" i="8" a="1"/>
  <c r="H16" i="8" s="1"/>
  <c r="H15" i="8" a="1"/>
  <c r="H15" i="8" s="1"/>
  <c r="H6" i="8" a="1"/>
  <c r="H6" i="8" s="1"/>
  <c r="H4" i="8" a="1"/>
  <c r="H4" i="8" s="1"/>
  <c r="H11" i="8" a="1"/>
  <c r="H11" i="8" s="1"/>
  <c r="H13" i="8" a="1"/>
  <c r="H13" i="8" s="1"/>
  <c r="H14" i="8" a="1"/>
  <c r="H14" i="8" s="1"/>
  <c r="H7" i="8" a="1"/>
  <c r="H7" i="8" s="1"/>
  <c r="H9" i="8" a="1"/>
  <c r="H9" i="8" s="1"/>
  <c r="H21" i="8" a="1"/>
  <c r="H21" i="8" s="1"/>
  <c r="H3" i="8" a="1"/>
  <c r="H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Xiaoge Zhang</author>
  </authors>
  <commentList>
    <comment ref="J6" authorId="0" shapeId="0" xr:uid="{292A7144-DD47-FF48-BED7-95F0FC4F88AC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 xml:space="preserve">beta dist. : alpha
</t>
        </r>
        <r>
          <rPr>
            <sz val="10"/>
            <color rgb="FF000000"/>
            <rFont val="Microsoft YaHei UI"/>
            <family val="2"/>
            <charset val="134"/>
          </rPr>
          <t>gamma dist: Shape</t>
        </r>
      </text>
    </comment>
    <comment ref="K6" authorId="0" shapeId="0" xr:uid="{85DA4CAC-B010-C544-817A-1585E9630539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 xml:space="preserve">Beta Dist: beta
</t>
        </r>
        <r>
          <rPr>
            <sz val="10"/>
            <color rgb="FF000000"/>
            <rFont val="Microsoft YaHei UI"/>
            <family val="2"/>
            <charset val="134"/>
          </rPr>
          <t>gamma dist: Scale</t>
        </r>
      </text>
    </comment>
    <comment ref="G11" authorId="0" shapeId="0" xr:uid="{2661BC1E-FB86-564E-B84C-4315719B2A2E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Mean after Ln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Xiaoge Zhang</author>
  </authors>
  <commentList>
    <comment ref="T2" authorId="0" shapeId="0" xr:uid="{2EE9464C-C752-0842-845C-061DB0988316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等线"/>
            <family val="4"/>
            <charset val="134"/>
          </rPr>
          <t xml:space="preserve">* dth (WRONG) </t>
        </r>
        <r>
          <rPr>
            <sz val="10"/>
            <color rgb="FF000000"/>
            <rFont val="等线"/>
            <family val="4"/>
            <charset val="134"/>
          </rPr>
          <t>-</t>
        </r>
        <r>
          <rPr>
            <sz val="10"/>
            <color rgb="FF000000"/>
            <rFont val="等线"/>
            <family val="4"/>
            <charset val="134"/>
          </rPr>
          <t xml:space="preserve"> </t>
        </r>
        <r>
          <rPr>
            <sz val="10"/>
            <color rgb="FF000000"/>
            <rFont val="等线"/>
            <family val="4"/>
            <charset val="134"/>
          </rPr>
          <t>Crrcted</t>
        </r>
      </text>
    </comment>
    <comment ref="U2" authorId="0" shapeId="0" xr:uid="{6EE2C70C-3318-6148-B779-32F2FFCC88E9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 xml:space="preserve">NO HCC (WRONG </t>
        </r>
        <r>
          <rPr>
            <sz val="10"/>
            <color rgb="FF000000"/>
            <rFont val="Microsoft YaHei UI"/>
            <family val="2"/>
            <charset val="134"/>
          </rPr>
          <t>-</t>
        </r>
        <r>
          <rPr>
            <sz val="10"/>
            <color rgb="FF000000"/>
            <rFont val="Microsoft YaHei UI"/>
            <family val="2"/>
            <charset val="134"/>
          </rPr>
          <t xml:space="preserve"> </t>
        </r>
        <r>
          <rPr>
            <sz val="10"/>
            <color rgb="FF000000"/>
            <rFont val="Microsoft YaHei UI"/>
            <family val="2"/>
            <charset val="134"/>
          </rPr>
          <t>Crrcted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Xiaoge Zhang</author>
  </authors>
  <commentList>
    <comment ref="T2" authorId="0" shapeId="0" xr:uid="{0DEFAE36-361E-1E40-83CC-30E8E087BC22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等线"/>
            <family val="4"/>
            <charset val="134"/>
          </rPr>
          <t>* dth (WRONG) - Crrected</t>
        </r>
      </text>
    </comment>
    <comment ref="U2" authorId="0" shapeId="0" xr:uid="{947FB758-93D4-134C-8D0D-3D119AEEB359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NO HCC (WRONG - Crrcted</t>
        </r>
      </text>
    </comment>
    <comment ref="D63" authorId="0" shapeId="0" xr:uid="{F5D22878-F73D-B346-B2E0-E1F8D41CC410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 xml:space="preserve">INDPDNT </t>
        </r>
      </text>
    </comment>
    <comment ref="G64" authorId="0" shapeId="0" xr:uid="{F8985338-D916-5B49-A41D-EED0ED5FAE0B}">
      <text>
        <r>
          <rPr>
            <b/>
            <sz val="10"/>
            <color rgb="FF000000"/>
            <rFont val="Microsoft YaHei UI"/>
            <family val="2"/>
            <charset val="134"/>
          </rPr>
          <t>Xiaoge Zhang: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(1-Soc_prog_risk)^0.7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A9CD81-6A39-BF43-B3E3-0443E60804CD}" keepAlive="1" name="查询 - RRMM_Model_Inputs" description="与工作簿中“RRMM_Model_Inputs”查询的连接。" type="5" refreshedVersion="8" background="1" saveData="1">
    <dbPr connection="Provider=Microsoft.Mashup.OleDb.1;Data Source=$Workbook$;Location=RRMM_Model_Inputs;Extended Properties=&quot;&quot;" command="SELECT * FROM [RRMM_Model_Inpu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<sst xmlns="http://schemas.openxmlformats.org/spreadsheetml/2006/main" count="200" uniqueCount="166">
  <si>
    <t>time_horizion</t>
    <phoneticPr fontId="1" type="noConversion"/>
  </si>
  <si>
    <t>cycle_length</t>
    <phoneticPr fontId="1" type="noConversion"/>
  </si>
  <si>
    <t>trt_lst_price</t>
    <phoneticPr fontId="1" type="noConversion"/>
  </si>
  <si>
    <t>trt_pas_disc</t>
    <phoneticPr fontId="1" type="noConversion"/>
  </si>
  <si>
    <t>trt_cap_month</t>
    <phoneticPr fontId="1" type="noConversion"/>
  </si>
  <si>
    <t>pd_mAb_price</t>
    <phoneticPr fontId="1" type="noConversion"/>
  </si>
  <si>
    <t>pd_chm_price</t>
    <phoneticPr fontId="1" type="noConversion"/>
  </si>
  <si>
    <t>Utlty_PFS</t>
    <phoneticPr fontId="1" type="noConversion"/>
  </si>
  <si>
    <t>Utlty_PD</t>
    <phoneticPr fontId="1" type="noConversion"/>
  </si>
  <si>
    <t>Utlty_AE_Disutlt</t>
    <phoneticPr fontId="1" type="noConversion"/>
  </si>
  <si>
    <t>Years</t>
    <phoneticPr fontId="1" type="noConversion"/>
  </si>
  <si>
    <t>Month</t>
    <phoneticPr fontId="1" type="noConversion"/>
  </si>
  <si>
    <t>Per Month</t>
    <phoneticPr fontId="1" type="noConversion"/>
  </si>
  <si>
    <t>/Month</t>
    <phoneticPr fontId="1" type="noConversion"/>
  </si>
  <si>
    <t>Share in a Month</t>
    <phoneticPr fontId="1" type="noConversion"/>
  </si>
  <si>
    <t>pd_mAb_share</t>
    <phoneticPr fontId="1" type="noConversion"/>
  </si>
  <si>
    <t>pd_chm_share</t>
    <phoneticPr fontId="1" type="noConversion"/>
  </si>
  <si>
    <t>start_age</t>
    <phoneticPr fontId="1" type="noConversion"/>
  </si>
  <si>
    <t>Discount_rate</t>
    <phoneticPr fontId="1" type="noConversion"/>
  </si>
  <si>
    <t>Annual</t>
    <phoneticPr fontId="1" type="noConversion"/>
  </si>
  <si>
    <t>Disc_rate_per_cyc</t>
    <phoneticPr fontId="1" type="noConversion"/>
  </si>
  <si>
    <t>Cycle</t>
  </si>
  <si>
    <t>Cycle</t>
    <phoneticPr fontId="1" type="noConversion"/>
  </si>
  <si>
    <t>Age</t>
  </si>
  <si>
    <t>Age</t>
    <phoneticPr fontId="1" type="noConversion"/>
  </si>
  <si>
    <t>National Life Tables, Great Britain, period expectation of life, based on data for the years 2022-2024</t>
  </si>
  <si>
    <t>This worksheet contains two tables, presented horizontally with one blank column in between the tables.</t>
  </si>
  <si>
    <t>This worksheet uses notation in the column headers, please see the notation worksheet for explanations.</t>
  </si>
  <si>
    <t>Back to contents</t>
  </si>
  <si>
    <t>Males</t>
  </si>
  <si>
    <t>Females</t>
  </si>
  <si>
    <t>age</t>
  </si>
  <si>
    <t>mx</t>
  </si>
  <si>
    <t>qx</t>
  </si>
  <si>
    <t>lx</t>
  </si>
  <si>
    <t>dx</t>
  </si>
  <si>
    <t>ex</t>
  </si>
  <si>
    <t>MnFqx</t>
  </si>
  <si>
    <t>MonthlyMnFqx</t>
  </si>
  <si>
    <t>soc_PFS_Prob</t>
    <phoneticPr fontId="1" type="noConversion"/>
  </si>
  <si>
    <t>Impl_dth_rsk</t>
    <phoneticPr fontId="1" type="noConversion"/>
  </si>
  <si>
    <t>ons_dth_risk</t>
    <phoneticPr fontId="1" type="noConversion"/>
  </si>
  <si>
    <t>crrct_dth_risk</t>
    <phoneticPr fontId="1" type="noConversion"/>
  </si>
  <si>
    <t>adj_OS_Prob</t>
    <phoneticPr fontId="1" type="noConversion"/>
  </si>
  <si>
    <t>soc_price</t>
    <phoneticPr fontId="1" type="noConversion"/>
  </si>
  <si>
    <t>disc_rate_clum</t>
    <phoneticPr fontId="1" type="noConversion"/>
  </si>
  <si>
    <t>soc_pfs_stt</t>
    <phoneticPr fontId="1" type="noConversion"/>
  </si>
  <si>
    <t>soc_pd_stt</t>
    <phoneticPr fontId="1" type="noConversion"/>
  </si>
  <si>
    <t>soc_dth</t>
    <phoneticPr fontId="1" type="noConversion"/>
  </si>
  <si>
    <t>soc_pfs_cst</t>
    <phoneticPr fontId="1" type="noConversion"/>
  </si>
  <si>
    <t>soc_pd_cst</t>
    <phoneticPr fontId="1" type="noConversion"/>
  </si>
  <si>
    <t>soc_utl</t>
    <phoneticPr fontId="1" type="noConversion"/>
  </si>
  <si>
    <t>hcc_qal_per_cyc</t>
    <phoneticPr fontId="1" type="noConversion"/>
  </si>
  <si>
    <t>trt_PFS_Prob</t>
    <phoneticPr fontId="1" type="noConversion"/>
  </si>
  <si>
    <t>trt_pd_stt</t>
  </si>
  <si>
    <t>trt_dth</t>
  </si>
  <si>
    <t>trt_pfs_cst</t>
  </si>
  <si>
    <t>trt_pd_cst</t>
  </si>
  <si>
    <t>trt_utl</t>
  </si>
  <si>
    <t>trt_pfs_stt</t>
    <phoneticPr fontId="1" type="noConversion"/>
  </si>
  <si>
    <t>ICER</t>
    <phoneticPr fontId="1" type="noConversion"/>
  </si>
  <si>
    <t>soc_prog_risk</t>
    <phoneticPr fontId="1" type="noConversion"/>
  </si>
  <si>
    <t>trt_prog_risk</t>
    <phoneticPr fontId="1" type="noConversion"/>
  </si>
  <si>
    <t>hccsoc_ttl_cst</t>
    <phoneticPr fontId="1" type="noConversion"/>
  </si>
  <si>
    <t>hcctrt_ttl_cst</t>
    <phoneticPr fontId="1" type="noConversion"/>
  </si>
  <si>
    <t>Month</t>
  </si>
  <si>
    <t>SoC_PFS</t>
  </si>
  <si>
    <t>SoC_OS</t>
  </si>
  <si>
    <t>Trt_PFS</t>
  </si>
  <si>
    <t>Trt_OS</t>
  </si>
  <si>
    <t>Logical Health Check</t>
    <phoneticPr fontId="1" type="noConversion"/>
  </si>
  <si>
    <t>trt_OS_Prob</t>
    <phoneticPr fontId="1" type="noConversion"/>
  </si>
  <si>
    <t>Patient Age (Years)</t>
  </si>
  <si>
    <t>Cumulative Discount Factor</t>
  </si>
  <si>
    <t>SoC OS Probability</t>
  </si>
  <si>
    <t>Implied Death Risk</t>
  </si>
  <si>
    <t>ONS Mortality Risk</t>
  </si>
  <si>
    <t>Corrected Death Risk</t>
  </si>
  <si>
    <t>Adjusted OS Probability</t>
  </si>
  <si>
    <t>SoC PFS Membership</t>
  </si>
  <si>
    <t>SoC Progressed Membership</t>
  </si>
  <si>
    <t>SoC Death Membership</t>
  </si>
  <si>
    <t>SoC PFS Cost (£)</t>
  </si>
  <si>
    <t>SoC Subsequent Cost (£)</t>
  </si>
  <si>
    <t>SoC Total Cost (HCC) (£)</t>
  </si>
  <si>
    <t>SoC Utility</t>
  </si>
  <si>
    <t>SoC QALYs (HCC)</t>
  </si>
  <si>
    <t>Drug A PFS Probability</t>
  </si>
  <si>
    <t>Drug A Progression Risk</t>
  </si>
  <si>
    <t>Drug A PFS Membership</t>
  </si>
  <si>
    <t>Drug A Progressed Membership</t>
  </si>
  <si>
    <t>Drug A Death Membership</t>
  </si>
  <si>
    <t>Drug A Acquisition Cost (£)</t>
  </si>
  <si>
    <t>Drug A Subsequent Cost (£)</t>
  </si>
  <si>
    <t>Drug A Total Cost (HCC) (£)</t>
  </si>
  <si>
    <t>Drug A Utility</t>
  </si>
  <si>
    <t>Drug A QALYs (HCC)</t>
  </si>
  <si>
    <t>Soc OS/PFS Check</t>
    <phoneticPr fontId="1" type="noConversion"/>
  </si>
  <si>
    <t>Trt OS/PFS Check</t>
    <phoneticPr fontId="1" type="noConversion"/>
  </si>
  <si>
    <t>Sum Check</t>
  </si>
  <si>
    <t>Sum Check</t>
    <phoneticPr fontId="1" type="noConversion"/>
  </si>
  <si>
    <t>sum_check</t>
  </si>
  <si>
    <t>sum_check</t>
    <phoneticPr fontId="1" type="noConversion"/>
  </si>
  <si>
    <t>Trt Cohort Balance Check</t>
    <phoneticPr fontId="1" type="noConversion"/>
  </si>
  <si>
    <t>Soc Cohort Balance Check</t>
    <phoneticPr fontId="1" type="noConversion"/>
  </si>
  <si>
    <r>
      <rPr>
        <b/>
        <sz val="12"/>
        <color theme="0"/>
        <rFont val="Cambria Math"/>
        <family val="2"/>
      </rPr>
      <t>∆</t>
    </r>
    <r>
      <rPr>
        <b/>
        <sz val="12"/>
        <color theme="0"/>
        <rFont val="等线"/>
        <family val="2"/>
      </rPr>
      <t>E</t>
    </r>
    <phoneticPr fontId="1" type="noConversion"/>
  </si>
  <si>
    <r>
      <rPr>
        <b/>
        <sz val="12"/>
        <color theme="0"/>
        <rFont val="Cambria Math"/>
        <family val="2"/>
      </rPr>
      <t>∆</t>
    </r>
    <r>
      <rPr>
        <b/>
        <sz val="12"/>
        <color theme="0"/>
        <rFont val="等线"/>
        <family val="2"/>
        <charset val="134"/>
        <scheme val="minor"/>
      </rPr>
      <t>C</t>
    </r>
    <phoneticPr fontId="1" type="noConversion"/>
  </si>
  <si>
    <t>WTP_Threshold (£30,000)</t>
    <phoneticPr fontId="1" type="noConversion"/>
  </si>
  <si>
    <t>Drug A Net Price</t>
    <phoneticPr fontId="1" type="noConversion"/>
  </si>
  <si>
    <t>Implied HR @ 60m</t>
    <phoneticPr fontId="1" type="noConversion"/>
  </si>
  <si>
    <t>Waning Duration</t>
    <phoneticPr fontId="1" type="noConversion"/>
  </si>
  <si>
    <t>NMB @ WTP30k</t>
  </si>
  <si>
    <t>Mean</t>
  </si>
  <si>
    <t>WTP Threshold</t>
  </si>
  <si>
    <t>Probability CE</t>
  </si>
  <si>
    <t>X (QALYs)</t>
  </si>
  <si>
    <t>Y (Costs)</t>
  </si>
  <si>
    <t>Probabilistic Sensitivity Analysis</t>
  </si>
  <si>
    <t>PSA_Switch</t>
  </si>
  <si>
    <t>mu</t>
  </si>
  <si>
    <t>sigma</t>
  </si>
  <si>
    <t>Distribution</t>
  </si>
  <si>
    <t>Parameter 1</t>
  </si>
  <si>
    <t>Parameter 2</t>
  </si>
  <si>
    <t>Random Draw</t>
  </si>
  <si>
    <t>Value to Use</t>
  </si>
  <si>
    <t>Beta</t>
  </si>
  <si>
    <t>pd_ulty</t>
  </si>
  <si>
    <t>Gamma</t>
  </si>
  <si>
    <t>Log Normal</t>
  </si>
  <si>
    <t>STAN_HR_RND_INX</t>
  </si>
  <si>
    <t>pfs_ulty</t>
    <phoneticPr fontId="1" type="noConversion"/>
  </si>
  <si>
    <t>Mntr_Adm_cst</t>
    <phoneticPr fontId="1" type="noConversion"/>
  </si>
  <si>
    <t>ΔC</t>
    <phoneticPr fontId="1" type="noConversion"/>
  </si>
  <si>
    <t>ΔE</t>
    <phoneticPr fontId="1" type="noConversion"/>
  </si>
  <si>
    <t>SoC Progression Risk</t>
    <phoneticPr fontId="1" type="noConversion"/>
  </si>
  <si>
    <t>PSA_Soc_PFSHR_scaler</t>
    <phoneticPr fontId="1" type="noConversion"/>
  </si>
  <si>
    <t>PSA_trt_PFSHR_scaler</t>
    <phoneticPr fontId="1" type="noConversion"/>
  </si>
  <si>
    <t>PSA_trt_OSHR_scaler</t>
    <phoneticPr fontId="1" type="noConversion"/>
  </si>
  <si>
    <t>PSA_Soc_OSHR_scaler</t>
    <phoneticPr fontId="1" type="noConversion"/>
  </si>
  <si>
    <t>SoC PSA PFS Hazard</t>
    <phoneticPr fontId="1" type="noConversion"/>
  </si>
  <si>
    <t>soc_PSA_PFS_hazard</t>
    <phoneticPr fontId="1" type="noConversion"/>
  </si>
  <si>
    <t>soc_PSA_OS_hazard</t>
    <phoneticPr fontId="1" type="noConversion"/>
  </si>
  <si>
    <t>SoC PSA OS Hazard</t>
    <phoneticPr fontId="1" type="noConversion"/>
  </si>
  <si>
    <t>SoC PFS Probability</t>
    <phoneticPr fontId="1" type="noConversion"/>
  </si>
  <si>
    <t>SoC PFS Probability PSA adj</t>
    <phoneticPr fontId="1" type="noConversion"/>
  </si>
  <si>
    <t>soc_PFS_Prob_psa_adj</t>
    <phoneticPr fontId="1" type="noConversion"/>
  </si>
  <si>
    <t>SoC OS Probability PSA adj</t>
    <phoneticPr fontId="1" type="noConversion"/>
  </si>
  <si>
    <t>soc_OS_Prob</t>
    <phoneticPr fontId="1" type="noConversion"/>
  </si>
  <si>
    <t>soc_OS_Prob_psa_adj</t>
    <phoneticPr fontId="1" type="noConversion"/>
  </si>
  <si>
    <t>Trt PSA PFS HR Adj</t>
    <phoneticPr fontId="1" type="noConversion"/>
  </si>
  <si>
    <t>Trt_PSA_PFS_HR_Adj</t>
    <phoneticPr fontId="1" type="noConversion"/>
  </si>
  <si>
    <t>Drug A PFS Probability PSA Adj</t>
    <phoneticPr fontId="1" type="noConversion"/>
  </si>
  <si>
    <t>trt_PFS_Prob_psa_adj</t>
    <phoneticPr fontId="1" type="noConversion"/>
  </si>
  <si>
    <t>Drug A OS Probability</t>
    <phoneticPr fontId="1" type="noConversion"/>
  </si>
  <si>
    <t>Drug A OS Probability PSA Adj</t>
    <phoneticPr fontId="1" type="noConversion"/>
  </si>
  <si>
    <t>trt_OS_Prob_psa_adj</t>
    <phoneticPr fontId="1" type="noConversion"/>
  </si>
  <si>
    <t>Trt PSA OS HR Adj</t>
    <phoneticPr fontId="1" type="noConversion"/>
  </si>
  <si>
    <t>Trt_PSA_OS_HR_Adj</t>
    <phoneticPr fontId="1" type="noConversion"/>
  </si>
  <si>
    <t>Subsq_PD_cst</t>
    <phoneticPr fontId="1" type="noConversion"/>
  </si>
  <si>
    <t>PSAQALY-cycle</t>
    <phoneticPr fontId="1" type="noConversion"/>
  </si>
  <si>
    <t>PSACOST</t>
    <phoneticPr fontId="1" type="noConversion"/>
  </si>
  <si>
    <t>PSAQALY</t>
    <phoneticPr fontId="1" type="noConversion"/>
  </si>
  <si>
    <r>
      <rPr>
        <b/>
        <sz val="12"/>
        <color theme="0"/>
        <rFont val="Cambria Math"/>
        <family val="2"/>
      </rPr>
      <t>∆</t>
    </r>
    <r>
      <rPr>
        <b/>
        <sz val="12"/>
        <color theme="0"/>
        <rFont val="等线"/>
        <family val="2"/>
      </rPr>
      <t>E</t>
    </r>
    <r>
      <rPr>
        <b/>
        <sz val="12"/>
        <color theme="0"/>
        <rFont val="等线"/>
        <family val="2"/>
        <charset val="134"/>
      </rPr>
      <t xml:space="preserve"> Prob</t>
    </r>
    <phoneticPr fontId="1" type="noConversion"/>
  </si>
  <si>
    <r>
      <rPr>
        <b/>
        <sz val="12"/>
        <color theme="0"/>
        <rFont val="Cambria Math"/>
        <family val="2"/>
      </rPr>
      <t>∆</t>
    </r>
    <r>
      <rPr>
        <b/>
        <sz val="12"/>
        <color theme="0"/>
        <rFont val="等线"/>
        <family val="2"/>
        <charset val="134"/>
        <scheme val="minor"/>
      </rPr>
      <t>C Prob</t>
    </r>
    <phoneticPr fontId="1" type="noConversion"/>
  </si>
  <si>
    <t>ICER Prob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</si>
</sst>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¥&quot;* #,##0.00_);_(&quot;¥&quot;* \(#,##0.00\);_(&quot;¥&quot;* &quot;-&quot;??_);_(@_)"/>
    <numFmt numFmtId="176" formatCode="0.0000_);[Red]\(0.0000\)"/>
    <numFmt numFmtId="177" formatCode="_-[$£-809]* #,##0.00_-;\-[$£-809]* #,##0.00_-;_-[$£-809]* &quot;-&quot;??_-;_-@_-"/>
    <numFmt numFmtId="178" formatCode="_-[$£-809]* #,##0_-;\-[$£-809]* #,##0_-;_-[$£-809]* &quot;-&quot;??_-;_-@_-"/>
    <numFmt numFmtId="179" formatCode="0.00_);[Red]\(0.00\)"/>
  </numFmts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等线"/>
      <family val="4"/>
      <charset val="134"/>
    </font>
    <font>
      <sz val="12"/>
      <color theme="1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3"/>
      <color rgb="FF3B3B3B"/>
      <name val="Arial"/>
      <family val="2"/>
    </font>
    <font>
      <sz val="12"/>
      <color theme="4"/>
      <name val="等线"/>
      <family val="2"/>
      <charset val="134"/>
      <scheme val="minor"/>
    </font>
    <font>
      <b/>
      <sz val="12"/>
      <color theme="0"/>
      <name val="等线"/>
      <family val="2"/>
      <charset val="134"/>
    </font>
    <font>
      <b/>
      <sz val="12"/>
      <color theme="0"/>
      <name val="Cambria Math"/>
      <family val="2"/>
    </font>
    <font>
      <b/>
      <sz val="12"/>
      <color theme="0"/>
      <name val="等线"/>
      <family val="2"/>
    </font>
    <font>
      <sz val="12"/>
      <name val="等线"/>
      <family val="2"/>
      <charset val="134"/>
      <scheme val="minor"/>
    </font>
    <font>
      <sz val="12"/>
      <color theme="4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206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0" fontId="0" fillId="0" borderId="1" xfId="0" applyBorder="1">
      <alignment vertical="center"/>
    </xf>
    <xf numFmtId="0" fontId="11" fillId="4" borderId="2" xfId="0" applyFont="1" applyFill="1" applyBorder="1" applyAlignment="1">
      <alignment horizontal="center" vertical="center"/>
    </xf>
    <xf numFmtId="176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77" fontId="8" fillId="4" borderId="2" xfId="2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8" fontId="8" fillId="4" borderId="1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179" fontId="10" fillId="0" borderId="0" xfId="0" applyNumberFormat="1" applyFo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1" fillId="7" borderId="2" xfId="0" applyFont="1" applyFill="1" applyBorder="1" applyAlignment="1">
      <alignment horizontal="center" vertical="center"/>
    </xf>
    <xf numFmtId="176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77" fontId="8" fillId="7" borderId="2" xfId="2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超链接" xfId="1" builtinId="8"/>
    <cellStyle name="货币" xfId="2" builtinId="4"/>
  </cellStyles>
  <dxfs count="0"/>
  <tableStyles count="0" defaultTableStyle="TableStyleMedium2" defaultPivotStyle="PivotStyleLight16"/>
  <colors>
    <mruColors>
      <color rgb="FF002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Cost-Effectiveness Acceptability Curve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PSA_Dashboard!$G$2:$G$22</c:f>
              <c:numCache>
                <c:formatCode>General</c:formatCode>
                <c:ptCount val="21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PSA_Dashboard!$H$2:$H$22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3.0000000000000001E-3</c:v>
                </c:pt>
                <c:pt idx="5">
                  <c:v>1.6E-2</c:v>
                </c:pt>
                <c:pt idx="6">
                  <c:v>0.05</c:v>
                </c:pt>
                <c:pt idx="7">
                  <c:v>0.113</c:v>
                </c:pt>
                <c:pt idx="8">
                  <c:v>0.182</c:v>
                </c:pt>
                <c:pt idx="9">
                  <c:v>0.29199999999999998</c:v>
                </c:pt>
                <c:pt idx="10">
                  <c:v>0.40600000000000003</c:v>
                </c:pt>
                <c:pt idx="11">
                  <c:v>0.52300000000000002</c:v>
                </c:pt>
                <c:pt idx="12">
                  <c:v>0.63300000000000001</c:v>
                </c:pt>
                <c:pt idx="13">
                  <c:v>0.69899999999999995</c:v>
                </c:pt>
                <c:pt idx="14">
                  <c:v>0.76400000000000001</c:v>
                </c:pt>
                <c:pt idx="15">
                  <c:v>0.81899999999999995</c:v>
                </c:pt>
                <c:pt idx="16">
                  <c:v>0.85899999999999999</c:v>
                </c:pt>
                <c:pt idx="17">
                  <c:v>0.88200000000000001</c:v>
                </c:pt>
                <c:pt idx="18">
                  <c:v>0.89900000000000002</c:v>
                </c:pt>
                <c:pt idx="19">
                  <c:v>0.92800000000000005</c:v>
                </c:pt>
                <c:pt idx="20">
                  <c:v>0.94199999999999995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C-604E-A2BD-A8BB72C49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489535"/>
        <c:axId val="1492228223"/>
      </c:scatterChart>
      <c:valAx>
        <c:axId val="149548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2228223"/>
        <c:crosses val="autoZero"/>
        <c:crossBetween val="midCat"/>
      </c:valAx>
      <c:valAx>
        <c:axId val="149222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48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Cost-Effectiveness Plane (CE Plane)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>
                  <a:outerShdw blurRad="50800" dist="50800" dir="5400000" algn="ctr" rotWithShape="0">
                    <a:srgbClr val="000000">
                      <a:alpha val="56000"/>
                    </a:srgbClr>
                  </a:outerShdw>
                </a:effectLst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blurRad="50800" dist="50800" dir="5400000" algn="ctr" rotWithShape="0">
                  <a:srgbClr val="000000">
                    <a:alpha val="56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8D8-114F-99B3-9733D3EA5457}"/>
              </c:ext>
            </c:extLst>
          </c:dPt>
          <c:xVal>
            <c:numRef>
              <c:f>PSA_Dashboard!$C$2:$C$1002</c:f>
              <c:numCache>
                <c:formatCode>General</c:formatCode>
                <c:ptCount val="1001"/>
                <c:pt idx="0">
                  <c:v>0.62465221787088132</c:v>
                </c:pt>
                <c:pt idx="1">
                  <c:v>0.76014420212999245</c:v>
                </c:pt>
                <c:pt idx="2">
                  <c:v>0.51844324214942494</c:v>
                </c:pt>
                <c:pt idx="3">
                  <c:v>0.62061569023088992</c:v>
                </c:pt>
                <c:pt idx="4">
                  <c:v>0.80118704233104499</c:v>
                </c:pt>
                <c:pt idx="5">
                  <c:v>0.5207110721025332</c:v>
                </c:pt>
                <c:pt idx="6">
                  <c:v>0.4707352965774676</c:v>
                </c:pt>
                <c:pt idx="7">
                  <c:v>0.44702486080067705</c:v>
                </c:pt>
                <c:pt idx="8">
                  <c:v>0.77672689448551413</c:v>
                </c:pt>
                <c:pt idx="9">
                  <c:v>0.89730802722322722</c:v>
                </c:pt>
                <c:pt idx="10">
                  <c:v>0.90367432618734234</c:v>
                </c:pt>
                <c:pt idx="11">
                  <c:v>0.45228897506245747</c:v>
                </c:pt>
                <c:pt idx="12">
                  <c:v>0.67115562550816299</c:v>
                </c:pt>
                <c:pt idx="13">
                  <c:v>0.98684000846937114</c:v>
                </c:pt>
                <c:pt idx="14">
                  <c:v>1.1800841918044997</c:v>
                </c:pt>
                <c:pt idx="15">
                  <c:v>0.77155360753650948</c:v>
                </c:pt>
                <c:pt idx="16">
                  <c:v>0.57827800734386137</c:v>
                </c:pt>
                <c:pt idx="17">
                  <c:v>0.73767677439529789</c:v>
                </c:pt>
                <c:pt idx="18">
                  <c:v>0.35859620032826522</c:v>
                </c:pt>
                <c:pt idx="19">
                  <c:v>0.71740128905665612</c:v>
                </c:pt>
                <c:pt idx="20">
                  <c:v>0.42012464664060789</c:v>
                </c:pt>
                <c:pt idx="21">
                  <c:v>1.004767193600594</c:v>
                </c:pt>
                <c:pt idx="22">
                  <c:v>0.5495763224447987</c:v>
                </c:pt>
                <c:pt idx="23">
                  <c:v>0.51533409357446724</c:v>
                </c:pt>
                <c:pt idx="24">
                  <c:v>0.69537586746973878</c:v>
                </c:pt>
                <c:pt idx="25">
                  <c:v>0.60541752554345263</c:v>
                </c:pt>
                <c:pt idx="26">
                  <c:v>0.57544450769873623</c:v>
                </c:pt>
                <c:pt idx="27">
                  <c:v>0.82663021959179006</c:v>
                </c:pt>
                <c:pt idx="28">
                  <c:v>0.34772411866818431</c:v>
                </c:pt>
                <c:pt idx="29">
                  <c:v>0.54723464960402901</c:v>
                </c:pt>
                <c:pt idx="30">
                  <c:v>0.70574443939070242</c:v>
                </c:pt>
                <c:pt idx="31">
                  <c:v>0.49260455597216546</c:v>
                </c:pt>
                <c:pt idx="32">
                  <c:v>0.86411859723363049</c:v>
                </c:pt>
                <c:pt idx="33">
                  <c:v>0.70755010903725024</c:v>
                </c:pt>
                <c:pt idx="34">
                  <c:v>0.39026261842325627</c:v>
                </c:pt>
                <c:pt idx="35">
                  <c:v>0.79142107083704816</c:v>
                </c:pt>
                <c:pt idx="36">
                  <c:v>0.61788165000872275</c:v>
                </c:pt>
                <c:pt idx="37">
                  <c:v>0.55673657103472829</c:v>
                </c:pt>
                <c:pt idx="38">
                  <c:v>0.51465453403443084</c:v>
                </c:pt>
                <c:pt idx="39">
                  <c:v>0.78750047203953533</c:v>
                </c:pt>
                <c:pt idx="40">
                  <c:v>0.60659484829918053</c:v>
                </c:pt>
                <c:pt idx="41">
                  <c:v>0.87244196047944622</c:v>
                </c:pt>
                <c:pt idx="42">
                  <c:v>0.56971038056433887</c:v>
                </c:pt>
                <c:pt idx="43">
                  <c:v>0.87737861919121163</c:v>
                </c:pt>
                <c:pt idx="44">
                  <c:v>0.87916304781941035</c:v>
                </c:pt>
                <c:pt idx="45">
                  <c:v>0.67187799334035803</c:v>
                </c:pt>
                <c:pt idx="46">
                  <c:v>0.82386417626193942</c:v>
                </c:pt>
                <c:pt idx="47">
                  <c:v>0.50169526026449085</c:v>
                </c:pt>
                <c:pt idx="48">
                  <c:v>0.67738911530374546</c:v>
                </c:pt>
                <c:pt idx="49">
                  <c:v>0.3703927954744306</c:v>
                </c:pt>
                <c:pt idx="50">
                  <c:v>0.76763682243227627</c:v>
                </c:pt>
                <c:pt idx="51">
                  <c:v>0.57050456242451819</c:v>
                </c:pt>
                <c:pt idx="52">
                  <c:v>0.77180818032772014</c:v>
                </c:pt>
                <c:pt idx="53">
                  <c:v>0.58169832043250591</c:v>
                </c:pt>
                <c:pt idx="54">
                  <c:v>0.25944996204790982</c:v>
                </c:pt>
                <c:pt idx="55">
                  <c:v>0.344371153084996</c:v>
                </c:pt>
                <c:pt idx="56">
                  <c:v>0.76218371094150461</c:v>
                </c:pt>
                <c:pt idx="57">
                  <c:v>0.52282509997634108</c:v>
                </c:pt>
                <c:pt idx="58">
                  <c:v>0.75217603028908053</c:v>
                </c:pt>
                <c:pt idx="59">
                  <c:v>0.86234976824409038</c:v>
                </c:pt>
                <c:pt idx="60">
                  <c:v>0.51095216892648554</c:v>
                </c:pt>
                <c:pt idx="61">
                  <c:v>0.4825836371290213</c:v>
                </c:pt>
                <c:pt idx="62">
                  <c:v>0.73548867317315891</c:v>
                </c:pt>
                <c:pt idx="63">
                  <c:v>0.77621078310286551</c:v>
                </c:pt>
                <c:pt idx="64">
                  <c:v>0.52896176150461627</c:v>
                </c:pt>
                <c:pt idx="65">
                  <c:v>1.1443272472217381</c:v>
                </c:pt>
                <c:pt idx="66">
                  <c:v>0.97456333036151466</c:v>
                </c:pt>
                <c:pt idx="67">
                  <c:v>0.76956924227768542</c:v>
                </c:pt>
                <c:pt idx="68">
                  <c:v>0.72420165376034551</c:v>
                </c:pt>
                <c:pt idx="69">
                  <c:v>0.45511965287515221</c:v>
                </c:pt>
                <c:pt idx="70">
                  <c:v>0.60389401250910058</c:v>
                </c:pt>
                <c:pt idx="71">
                  <c:v>0.38082464961353613</c:v>
                </c:pt>
                <c:pt idx="72">
                  <c:v>0.4481396198390748</c:v>
                </c:pt>
                <c:pt idx="73">
                  <c:v>0.85128301531522976</c:v>
                </c:pt>
                <c:pt idx="74">
                  <c:v>0.86656344712589961</c:v>
                </c:pt>
                <c:pt idx="75">
                  <c:v>0.77471111170947915</c:v>
                </c:pt>
                <c:pt idx="76">
                  <c:v>0.41558505164205406</c:v>
                </c:pt>
                <c:pt idx="77">
                  <c:v>0.69105734490129711</c:v>
                </c:pt>
                <c:pt idx="78">
                  <c:v>0.74575931169442167</c:v>
                </c:pt>
                <c:pt idx="79">
                  <c:v>0.51748372257807573</c:v>
                </c:pt>
                <c:pt idx="80">
                  <c:v>0.73265094098631001</c:v>
                </c:pt>
                <c:pt idx="81">
                  <c:v>0.69822918256189093</c:v>
                </c:pt>
                <c:pt idx="82">
                  <c:v>1.1134030037711504</c:v>
                </c:pt>
                <c:pt idx="83">
                  <c:v>0.80166584284409725</c:v>
                </c:pt>
                <c:pt idx="84">
                  <c:v>0.79482516434205164</c:v>
                </c:pt>
                <c:pt idx="85">
                  <c:v>0.62823014468275251</c:v>
                </c:pt>
                <c:pt idx="86">
                  <c:v>0.43015181493975763</c:v>
                </c:pt>
                <c:pt idx="87">
                  <c:v>0.61731012612768721</c:v>
                </c:pt>
                <c:pt idx="88">
                  <c:v>0.56313881701846102</c:v>
                </c:pt>
                <c:pt idx="89">
                  <c:v>0.80534162917576158</c:v>
                </c:pt>
                <c:pt idx="90">
                  <c:v>0.71703321777646845</c:v>
                </c:pt>
                <c:pt idx="91">
                  <c:v>0.64685002858775653</c:v>
                </c:pt>
                <c:pt idx="92">
                  <c:v>0.89772631440928596</c:v>
                </c:pt>
                <c:pt idx="93">
                  <c:v>0.54105708069929959</c:v>
                </c:pt>
                <c:pt idx="94">
                  <c:v>0.67534808649773237</c:v>
                </c:pt>
                <c:pt idx="95">
                  <c:v>0.51726647620664656</c:v>
                </c:pt>
                <c:pt idx="96">
                  <c:v>0.64950938768218958</c:v>
                </c:pt>
                <c:pt idx="97">
                  <c:v>0.4472313196762987</c:v>
                </c:pt>
                <c:pt idx="98">
                  <c:v>0.57290222151183512</c:v>
                </c:pt>
                <c:pt idx="99">
                  <c:v>0.83038217451718555</c:v>
                </c:pt>
                <c:pt idx="100">
                  <c:v>0.76984606708648751</c:v>
                </c:pt>
                <c:pt idx="101">
                  <c:v>1.1771180769054885</c:v>
                </c:pt>
                <c:pt idx="102">
                  <c:v>0.82593238423084725</c:v>
                </c:pt>
                <c:pt idx="103">
                  <c:v>1.1885978774909984</c:v>
                </c:pt>
                <c:pt idx="104">
                  <c:v>0.94455741224361489</c:v>
                </c:pt>
                <c:pt idx="105">
                  <c:v>0.92342189336054803</c:v>
                </c:pt>
                <c:pt idx="106">
                  <c:v>0.37741532796360167</c:v>
                </c:pt>
                <c:pt idx="107">
                  <c:v>0.41991076455709564</c:v>
                </c:pt>
                <c:pt idx="108">
                  <c:v>0.79887458096165198</c:v>
                </c:pt>
                <c:pt idx="109">
                  <c:v>0.91351074350576478</c:v>
                </c:pt>
                <c:pt idx="110">
                  <c:v>0.75979839860906617</c:v>
                </c:pt>
                <c:pt idx="111">
                  <c:v>0.82481726215237017</c:v>
                </c:pt>
                <c:pt idx="112">
                  <c:v>0.70772840073690801</c:v>
                </c:pt>
                <c:pt idx="113">
                  <c:v>0.51981584037711626</c:v>
                </c:pt>
                <c:pt idx="114">
                  <c:v>0.83997473174845405</c:v>
                </c:pt>
                <c:pt idx="115">
                  <c:v>0.50090335113739037</c:v>
                </c:pt>
                <c:pt idx="116">
                  <c:v>0.57328366024061794</c:v>
                </c:pt>
                <c:pt idx="117">
                  <c:v>0.58002284240468782</c:v>
                </c:pt>
                <c:pt idx="118">
                  <c:v>0.74931135608001598</c:v>
                </c:pt>
                <c:pt idx="119">
                  <c:v>0.75722959435511794</c:v>
                </c:pt>
                <c:pt idx="120">
                  <c:v>0.73675096994432532</c:v>
                </c:pt>
                <c:pt idx="121">
                  <c:v>0.78725807808820081</c:v>
                </c:pt>
                <c:pt idx="122">
                  <c:v>0.52417427526338334</c:v>
                </c:pt>
                <c:pt idx="123">
                  <c:v>0.64383390100111937</c:v>
                </c:pt>
                <c:pt idx="124">
                  <c:v>0.73801041071807982</c:v>
                </c:pt>
                <c:pt idx="125">
                  <c:v>0.6611812552203562</c:v>
                </c:pt>
                <c:pt idx="126">
                  <c:v>0.78645812943611992</c:v>
                </c:pt>
                <c:pt idx="127">
                  <c:v>0.32089414802130167</c:v>
                </c:pt>
                <c:pt idx="128">
                  <c:v>0.77051285596457064</c:v>
                </c:pt>
                <c:pt idx="129">
                  <c:v>0.54668241970346942</c:v>
                </c:pt>
                <c:pt idx="130">
                  <c:v>0.81091216102037555</c:v>
                </c:pt>
                <c:pt idx="131">
                  <c:v>0.62354693590129773</c:v>
                </c:pt>
                <c:pt idx="132">
                  <c:v>0.72793697446319539</c:v>
                </c:pt>
                <c:pt idx="133">
                  <c:v>0.69051223224115454</c:v>
                </c:pt>
                <c:pt idx="134">
                  <c:v>0.70255195402205683</c:v>
                </c:pt>
                <c:pt idx="135">
                  <c:v>0.44873403187529037</c:v>
                </c:pt>
                <c:pt idx="136">
                  <c:v>0.88261389470898122</c:v>
                </c:pt>
                <c:pt idx="137">
                  <c:v>0.73598112982011066</c:v>
                </c:pt>
                <c:pt idx="138">
                  <c:v>0.57317175344609095</c:v>
                </c:pt>
                <c:pt idx="139">
                  <c:v>0.37301059819634141</c:v>
                </c:pt>
                <c:pt idx="140">
                  <c:v>0.89602615327250157</c:v>
                </c:pt>
                <c:pt idx="141">
                  <c:v>0.79888653339614968</c:v>
                </c:pt>
                <c:pt idx="142">
                  <c:v>0.86050158657589337</c:v>
                </c:pt>
                <c:pt idx="143">
                  <c:v>0.62628125521834943</c:v>
                </c:pt>
                <c:pt idx="144">
                  <c:v>0.6138612571293387</c:v>
                </c:pt>
                <c:pt idx="145">
                  <c:v>0.58699211674886809</c:v>
                </c:pt>
                <c:pt idx="146">
                  <c:v>0.67879390938189976</c:v>
                </c:pt>
                <c:pt idx="147">
                  <c:v>0.42942152811771339</c:v>
                </c:pt>
                <c:pt idx="148">
                  <c:v>0.56789956134445174</c:v>
                </c:pt>
                <c:pt idx="149">
                  <c:v>0.86093272268828147</c:v>
                </c:pt>
                <c:pt idx="150">
                  <c:v>1.0564628934120708</c:v>
                </c:pt>
                <c:pt idx="151">
                  <c:v>0.43623065077341083</c:v>
                </c:pt>
                <c:pt idx="152">
                  <c:v>0.84929799996400557</c:v>
                </c:pt>
                <c:pt idx="153">
                  <c:v>0.63260557799237893</c:v>
                </c:pt>
                <c:pt idx="154">
                  <c:v>0.96012701581705473</c:v>
                </c:pt>
                <c:pt idx="155">
                  <c:v>0.95234349648421612</c:v>
                </c:pt>
                <c:pt idx="156">
                  <c:v>0.8817665352009223</c:v>
                </c:pt>
                <c:pt idx="157">
                  <c:v>0.52223957874469273</c:v>
                </c:pt>
                <c:pt idx="158">
                  <c:v>0.62936138403203001</c:v>
                </c:pt>
                <c:pt idx="159">
                  <c:v>0.19355817469192571</c:v>
                </c:pt>
                <c:pt idx="160">
                  <c:v>0.69637104287172868</c:v>
                </c:pt>
                <c:pt idx="161">
                  <c:v>0.54005486773849021</c:v>
                </c:pt>
                <c:pt idx="162">
                  <c:v>0.94185142851450299</c:v>
                </c:pt>
                <c:pt idx="163">
                  <c:v>0.55610633716820601</c:v>
                </c:pt>
                <c:pt idx="164">
                  <c:v>0.3668062864350996</c:v>
                </c:pt>
                <c:pt idx="165">
                  <c:v>0.88558853937492543</c:v>
                </c:pt>
                <c:pt idx="166">
                  <c:v>0.78933902668086597</c:v>
                </c:pt>
                <c:pt idx="167">
                  <c:v>0.43673305940627749</c:v>
                </c:pt>
                <c:pt idx="168">
                  <c:v>0.85526087309679144</c:v>
                </c:pt>
                <c:pt idx="169">
                  <c:v>0.69001282293422039</c:v>
                </c:pt>
                <c:pt idx="170">
                  <c:v>0.51225698494611493</c:v>
                </c:pt>
                <c:pt idx="171">
                  <c:v>0.74041894292926735</c:v>
                </c:pt>
                <c:pt idx="172">
                  <c:v>0.74511316572479847</c:v>
                </c:pt>
                <c:pt idx="173">
                  <c:v>0.63597615597349533</c:v>
                </c:pt>
                <c:pt idx="174">
                  <c:v>0.59111830161158752</c:v>
                </c:pt>
                <c:pt idx="175">
                  <c:v>0.57271760476082822</c:v>
                </c:pt>
                <c:pt idx="176">
                  <c:v>0.67420797666971777</c:v>
                </c:pt>
                <c:pt idx="177">
                  <c:v>0.46873130870971846</c:v>
                </c:pt>
                <c:pt idx="178">
                  <c:v>1.0027866971128765</c:v>
                </c:pt>
                <c:pt idx="179">
                  <c:v>0.28697185766850541</c:v>
                </c:pt>
                <c:pt idx="180">
                  <c:v>0.56770656471659042</c:v>
                </c:pt>
                <c:pt idx="181">
                  <c:v>0.5581415894352737</c:v>
                </c:pt>
                <c:pt idx="182">
                  <c:v>0.50869080134735434</c:v>
                </c:pt>
                <c:pt idx="183">
                  <c:v>7.6274346362728895E-2</c:v>
                </c:pt>
                <c:pt idx="184">
                  <c:v>0.92096826207255167</c:v>
                </c:pt>
                <c:pt idx="185">
                  <c:v>0.46796767190644162</c:v>
                </c:pt>
                <c:pt idx="186">
                  <c:v>1.0317716603620111</c:v>
                </c:pt>
                <c:pt idx="187">
                  <c:v>0.89567998308190888</c:v>
                </c:pt>
                <c:pt idx="188">
                  <c:v>0.53177924925946507</c:v>
                </c:pt>
                <c:pt idx="189">
                  <c:v>1.0369645779266088</c:v>
                </c:pt>
                <c:pt idx="190">
                  <c:v>1.0633304782072892</c:v>
                </c:pt>
                <c:pt idx="191">
                  <c:v>0.22232079310064279</c:v>
                </c:pt>
                <c:pt idx="192">
                  <c:v>0.59415067688270051</c:v>
                </c:pt>
                <c:pt idx="193">
                  <c:v>0.7640390108140116</c:v>
                </c:pt>
                <c:pt idx="194">
                  <c:v>0.39326964895044569</c:v>
                </c:pt>
                <c:pt idx="195">
                  <c:v>0.48894567351888485</c:v>
                </c:pt>
                <c:pt idx="196">
                  <c:v>0.53868129805853715</c:v>
                </c:pt>
                <c:pt idx="197">
                  <c:v>0.90817510182400207</c:v>
                </c:pt>
                <c:pt idx="198">
                  <c:v>0.82671703200080771</c:v>
                </c:pt>
                <c:pt idx="199">
                  <c:v>0.89748170381317882</c:v>
                </c:pt>
                <c:pt idx="200">
                  <c:v>0.48596466760685009</c:v>
                </c:pt>
                <c:pt idx="201">
                  <c:v>0.2290273600246473</c:v>
                </c:pt>
                <c:pt idx="202">
                  <c:v>0.54556988242879134</c:v>
                </c:pt>
                <c:pt idx="203">
                  <c:v>0.78127991523574525</c:v>
                </c:pt>
                <c:pt idx="204">
                  <c:v>1.1159624209583305</c:v>
                </c:pt>
                <c:pt idx="205">
                  <c:v>0.17918135933476753</c:v>
                </c:pt>
                <c:pt idx="206">
                  <c:v>0.67002990934461892</c:v>
                </c:pt>
                <c:pt idx="207">
                  <c:v>0.51108045100057486</c:v>
                </c:pt>
                <c:pt idx="208">
                  <c:v>0.42886450007526244</c:v>
                </c:pt>
                <c:pt idx="209">
                  <c:v>1.074143576313362</c:v>
                </c:pt>
                <c:pt idx="210">
                  <c:v>0.51864618289041919</c:v>
                </c:pt>
                <c:pt idx="211">
                  <c:v>0.53817800431979457</c:v>
                </c:pt>
                <c:pt idx="212">
                  <c:v>0.65199374005760458</c:v>
                </c:pt>
                <c:pt idx="213">
                  <c:v>0.56478901551074445</c:v>
                </c:pt>
                <c:pt idx="214">
                  <c:v>0.69633216167097456</c:v>
                </c:pt>
                <c:pt idx="215">
                  <c:v>0.9857980832238793</c:v>
                </c:pt>
                <c:pt idx="216">
                  <c:v>0.37395777563654775</c:v>
                </c:pt>
                <c:pt idx="217">
                  <c:v>0.81788480093807858</c:v>
                </c:pt>
                <c:pt idx="218">
                  <c:v>0.53433807303201908</c:v>
                </c:pt>
                <c:pt idx="219">
                  <c:v>0.57426939797087617</c:v>
                </c:pt>
                <c:pt idx="220">
                  <c:v>0.28167260967408292</c:v>
                </c:pt>
                <c:pt idx="221">
                  <c:v>0.44236202040707062</c:v>
                </c:pt>
                <c:pt idx="222">
                  <c:v>0.43593483204443384</c:v>
                </c:pt>
                <c:pt idx="223">
                  <c:v>0.89709517849143938</c:v>
                </c:pt>
                <c:pt idx="224">
                  <c:v>0.92516460254569499</c:v>
                </c:pt>
                <c:pt idx="225">
                  <c:v>0.72908695761143427</c:v>
                </c:pt>
                <c:pt idx="226">
                  <c:v>0.58301497417015069</c:v>
                </c:pt>
                <c:pt idx="227">
                  <c:v>0.90044670104591007</c:v>
                </c:pt>
                <c:pt idx="228">
                  <c:v>0.79047145489795012</c:v>
                </c:pt>
                <c:pt idx="229">
                  <c:v>0.50629246651273285</c:v>
                </c:pt>
                <c:pt idx="230">
                  <c:v>0.81107429797104946</c:v>
                </c:pt>
                <c:pt idx="231">
                  <c:v>0.37731302363838659</c:v>
                </c:pt>
                <c:pt idx="232">
                  <c:v>0.4530092712002658</c:v>
                </c:pt>
                <c:pt idx="233">
                  <c:v>1.0856131757827436</c:v>
                </c:pt>
                <c:pt idx="234">
                  <c:v>0.81619983359240011</c:v>
                </c:pt>
                <c:pt idx="235">
                  <c:v>0.71966748908833789</c:v>
                </c:pt>
                <c:pt idx="236">
                  <c:v>0.62963861094832718</c:v>
                </c:pt>
                <c:pt idx="237">
                  <c:v>0.53765277682178558</c:v>
                </c:pt>
                <c:pt idx="238">
                  <c:v>0.65721993931328404</c:v>
                </c:pt>
                <c:pt idx="239">
                  <c:v>0.57299915893244813</c:v>
                </c:pt>
                <c:pt idx="240">
                  <c:v>0.54953789273813292</c:v>
                </c:pt>
                <c:pt idx="241">
                  <c:v>0.75390243722165939</c:v>
                </c:pt>
                <c:pt idx="242">
                  <c:v>0.51534902107786507</c:v>
                </c:pt>
                <c:pt idx="243">
                  <c:v>0.46624914991557964</c:v>
                </c:pt>
                <c:pt idx="244">
                  <c:v>0.82107069141392097</c:v>
                </c:pt>
                <c:pt idx="245">
                  <c:v>0.47749482632548124</c:v>
                </c:pt>
                <c:pt idx="246">
                  <c:v>0.5644224561460649</c:v>
                </c:pt>
                <c:pt idx="247">
                  <c:v>0.89149391686992163</c:v>
                </c:pt>
                <c:pt idx="248">
                  <c:v>1.0797423746790116</c:v>
                </c:pt>
                <c:pt idx="249">
                  <c:v>0.88292103731805627</c:v>
                </c:pt>
                <c:pt idx="250">
                  <c:v>0.89784760348966119</c:v>
                </c:pt>
                <c:pt idx="251">
                  <c:v>0.55200111651406281</c:v>
                </c:pt>
                <c:pt idx="252">
                  <c:v>0.43391799459574587</c:v>
                </c:pt>
                <c:pt idx="253">
                  <c:v>0.72288215130813827</c:v>
                </c:pt>
                <c:pt idx="254">
                  <c:v>0.73449811904556461</c:v>
                </c:pt>
                <c:pt idx="255">
                  <c:v>0.70057273839331446</c:v>
                </c:pt>
                <c:pt idx="256">
                  <c:v>0.7149092320050503</c:v>
                </c:pt>
                <c:pt idx="257">
                  <c:v>0.80665134982212083</c:v>
                </c:pt>
                <c:pt idx="258">
                  <c:v>0.69146438755709827</c:v>
                </c:pt>
                <c:pt idx="259">
                  <c:v>0.61871689472692215</c:v>
                </c:pt>
                <c:pt idx="260">
                  <c:v>0.69836432331332454</c:v>
                </c:pt>
                <c:pt idx="261">
                  <c:v>0.53981983708670112</c:v>
                </c:pt>
                <c:pt idx="262">
                  <c:v>1.061662655393343</c:v>
                </c:pt>
                <c:pt idx="263">
                  <c:v>0.35254292200652948</c:v>
                </c:pt>
                <c:pt idx="264">
                  <c:v>0.61898385320206817</c:v>
                </c:pt>
                <c:pt idx="265">
                  <c:v>0.81831905565100138</c:v>
                </c:pt>
                <c:pt idx="266">
                  <c:v>0.76617764453508408</c:v>
                </c:pt>
                <c:pt idx="267">
                  <c:v>0.69264465764454775</c:v>
                </c:pt>
                <c:pt idx="268">
                  <c:v>0.75642287783303286</c:v>
                </c:pt>
                <c:pt idx="269">
                  <c:v>0.60259142207241934</c:v>
                </c:pt>
                <c:pt idx="270">
                  <c:v>0.46803938605170514</c:v>
                </c:pt>
                <c:pt idx="271">
                  <c:v>0.5049678901190231</c:v>
                </c:pt>
                <c:pt idx="272">
                  <c:v>0.4106800374614461</c:v>
                </c:pt>
                <c:pt idx="273">
                  <c:v>0.57476750158352496</c:v>
                </c:pt>
                <c:pt idx="274">
                  <c:v>0.56805081101872212</c:v>
                </c:pt>
                <c:pt idx="275">
                  <c:v>0.90957786537257324</c:v>
                </c:pt>
                <c:pt idx="276">
                  <c:v>0.54332965569801184</c:v>
                </c:pt>
                <c:pt idx="277">
                  <c:v>0.74694640974477156</c:v>
                </c:pt>
                <c:pt idx="278">
                  <c:v>0.54757030106712068</c:v>
                </c:pt>
                <c:pt idx="279">
                  <c:v>0.30763237826873313</c:v>
                </c:pt>
                <c:pt idx="280">
                  <c:v>0.69883445720972981</c:v>
                </c:pt>
                <c:pt idx="281">
                  <c:v>0.52482872413418113</c:v>
                </c:pt>
                <c:pt idx="282">
                  <c:v>0.58769143812179347</c:v>
                </c:pt>
                <c:pt idx="283">
                  <c:v>0.78046649672478341</c:v>
                </c:pt>
                <c:pt idx="284">
                  <c:v>0.63360695372919595</c:v>
                </c:pt>
                <c:pt idx="285">
                  <c:v>0.92809045995953476</c:v>
                </c:pt>
                <c:pt idx="286">
                  <c:v>0.76254925263938356</c:v>
                </c:pt>
                <c:pt idx="287">
                  <c:v>0.61605877886565241</c:v>
                </c:pt>
                <c:pt idx="288">
                  <c:v>0.60220168179608868</c:v>
                </c:pt>
                <c:pt idx="289">
                  <c:v>0.72061067130071943</c:v>
                </c:pt>
                <c:pt idx="290">
                  <c:v>0.69448445885890009</c:v>
                </c:pt>
                <c:pt idx="291">
                  <c:v>0.59803656698153129</c:v>
                </c:pt>
                <c:pt idx="292">
                  <c:v>0.97037308939275868</c:v>
                </c:pt>
                <c:pt idx="293">
                  <c:v>0.7533479088741406</c:v>
                </c:pt>
                <c:pt idx="294">
                  <c:v>0.97019631989086208</c:v>
                </c:pt>
                <c:pt idx="295">
                  <c:v>0.68387701199919859</c:v>
                </c:pt>
                <c:pt idx="296">
                  <c:v>0.40780548496891633</c:v>
                </c:pt>
                <c:pt idx="297">
                  <c:v>0.71061930054426869</c:v>
                </c:pt>
                <c:pt idx="298">
                  <c:v>0.99351109577189489</c:v>
                </c:pt>
                <c:pt idx="299">
                  <c:v>0.43991999796772552</c:v>
                </c:pt>
                <c:pt idx="300">
                  <c:v>0.73578247960032894</c:v>
                </c:pt>
                <c:pt idx="301">
                  <c:v>0.53857623417287237</c:v>
                </c:pt>
                <c:pt idx="302">
                  <c:v>0.73148312163582818</c:v>
                </c:pt>
                <c:pt idx="303">
                  <c:v>0.51149952832199896</c:v>
                </c:pt>
                <c:pt idx="304">
                  <c:v>0.75358831405377846</c:v>
                </c:pt>
                <c:pt idx="305">
                  <c:v>0.76227625146411726</c:v>
                </c:pt>
                <c:pt idx="306">
                  <c:v>0.54657683880982688</c:v>
                </c:pt>
                <c:pt idx="307">
                  <c:v>0.40027778067787101</c:v>
                </c:pt>
                <c:pt idx="308">
                  <c:v>0.81628803258888727</c:v>
                </c:pt>
                <c:pt idx="309">
                  <c:v>0.81896963280781088</c:v>
                </c:pt>
                <c:pt idx="310">
                  <c:v>0.50633704314197092</c:v>
                </c:pt>
                <c:pt idx="311">
                  <c:v>1.1821866769460618</c:v>
                </c:pt>
                <c:pt idx="312">
                  <c:v>0.61370492575247382</c:v>
                </c:pt>
                <c:pt idx="313">
                  <c:v>0.83353937770202147</c:v>
                </c:pt>
                <c:pt idx="314">
                  <c:v>0.65141109121407181</c:v>
                </c:pt>
                <c:pt idx="315">
                  <c:v>0.94317546795697682</c:v>
                </c:pt>
                <c:pt idx="316">
                  <c:v>0.84509689804982324</c:v>
                </c:pt>
                <c:pt idx="317">
                  <c:v>0.90006075401844599</c:v>
                </c:pt>
                <c:pt idx="318">
                  <c:v>0.68071629187786731</c:v>
                </c:pt>
                <c:pt idx="319">
                  <c:v>0.85173116636510882</c:v>
                </c:pt>
                <c:pt idx="320">
                  <c:v>0.74453666194873969</c:v>
                </c:pt>
                <c:pt idx="321">
                  <c:v>0.34922267887908065</c:v>
                </c:pt>
                <c:pt idx="322">
                  <c:v>0.57073937052328438</c:v>
                </c:pt>
                <c:pt idx="323">
                  <c:v>0.71025391223685674</c:v>
                </c:pt>
                <c:pt idx="324">
                  <c:v>0.77801050048218601</c:v>
                </c:pt>
                <c:pt idx="325">
                  <c:v>0.68352526218465282</c:v>
                </c:pt>
                <c:pt idx="326">
                  <c:v>0.64000870826517753</c:v>
                </c:pt>
                <c:pt idx="327">
                  <c:v>0.71257024717190398</c:v>
                </c:pt>
                <c:pt idx="328">
                  <c:v>0.25202638853578407</c:v>
                </c:pt>
                <c:pt idx="329">
                  <c:v>0.99064164335108162</c:v>
                </c:pt>
                <c:pt idx="330">
                  <c:v>0.6070222690642979</c:v>
                </c:pt>
                <c:pt idx="331">
                  <c:v>0.49525603932531359</c:v>
                </c:pt>
                <c:pt idx="332">
                  <c:v>0.58985586306922211</c:v>
                </c:pt>
                <c:pt idx="333">
                  <c:v>0.6983296743247327</c:v>
                </c:pt>
                <c:pt idx="334">
                  <c:v>0.82370851328463646</c:v>
                </c:pt>
                <c:pt idx="335">
                  <c:v>0.6690330784329892</c:v>
                </c:pt>
                <c:pt idx="336">
                  <c:v>0.79176296841463656</c:v>
                </c:pt>
                <c:pt idx="337">
                  <c:v>1.0720285071297873</c:v>
                </c:pt>
                <c:pt idx="338">
                  <c:v>0.48026753857243576</c:v>
                </c:pt>
                <c:pt idx="339">
                  <c:v>0.69191723088365586</c:v>
                </c:pt>
                <c:pt idx="340">
                  <c:v>0.63999090393682967</c:v>
                </c:pt>
                <c:pt idx="341">
                  <c:v>0.32355632056016548</c:v>
                </c:pt>
                <c:pt idx="342">
                  <c:v>0.53459292381174062</c:v>
                </c:pt>
                <c:pt idx="343">
                  <c:v>0.48901495668760608</c:v>
                </c:pt>
                <c:pt idx="344">
                  <c:v>0.65757910964474853</c:v>
                </c:pt>
                <c:pt idx="345">
                  <c:v>0.82299767987718964</c:v>
                </c:pt>
                <c:pt idx="346">
                  <c:v>0.39218632013408827</c:v>
                </c:pt>
                <c:pt idx="347">
                  <c:v>0.62154902786577293</c:v>
                </c:pt>
                <c:pt idx="348">
                  <c:v>0.37857502316168046</c:v>
                </c:pt>
                <c:pt idx="349">
                  <c:v>0.90166673318032564</c:v>
                </c:pt>
                <c:pt idx="350">
                  <c:v>0.50993617476761943</c:v>
                </c:pt>
                <c:pt idx="351">
                  <c:v>0.5397181435015701</c:v>
                </c:pt>
                <c:pt idx="352">
                  <c:v>0.60255483897141926</c:v>
                </c:pt>
                <c:pt idx="353">
                  <c:v>0.19891518630403726</c:v>
                </c:pt>
                <c:pt idx="354">
                  <c:v>0.60256469463731732</c:v>
                </c:pt>
                <c:pt idx="355">
                  <c:v>0.69074872468593629</c:v>
                </c:pt>
                <c:pt idx="356">
                  <c:v>0.7545879407547702</c:v>
                </c:pt>
                <c:pt idx="357">
                  <c:v>0.86115360367750227</c:v>
                </c:pt>
                <c:pt idx="358">
                  <c:v>0.64188070592992008</c:v>
                </c:pt>
                <c:pt idx="359">
                  <c:v>0.58939363996127736</c:v>
                </c:pt>
                <c:pt idx="360">
                  <c:v>0.528582178407067</c:v>
                </c:pt>
                <c:pt idx="361">
                  <c:v>0.30226856130918089</c:v>
                </c:pt>
                <c:pt idx="362">
                  <c:v>0.54394482652650211</c:v>
                </c:pt>
                <c:pt idx="363">
                  <c:v>1.14668644645158</c:v>
                </c:pt>
                <c:pt idx="364">
                  <c:v>0.69322326513465549</c:v>
                </c:pt>
                <c:pt idx="365">
                  <c:v>0.38724261463750276</c:v>
                </c:pt>
                <c:pt idx="366">
                  <c:v>0.96513976015170866</c:v>
                </c:pt>
                <c:pt idx="367">
                  <c:v>1.103842857253553</c:v>
                </c:pt>
                <c:pt idx="368">
                  <c:v>0.50724626469617551</c:v>
                </c:pt>
                <c:pt idx="369">
                  <c:v>0.41454289441053493</c:v>
                </c:pt>
                <c:pt idx="370">
                  <c:v>8.1706610708574434E-2</c:v>
                </c:pt>
                <c:pt idx="371">
                  <c:v>0.4489613180748655</c:v>
                </c:pt>
                <c:pt idx="372">
                  <c:v>0.96819627425852062</c:v>
                </c:pt>
                <c:pt idx="373">
                  <c:v>0.90992368768460152</c:v>
                </c:pt>
                <c:pt idx="374">
                  <c:v>0.79195100568748056</c:v>
                </c:pt>
                <c:pt idx="375">
                  <c:v>0.47345491243721582</c:v>
                </c:pt>
                <c:pt idx="376">
                  <c:v>0.99558715984284096</c:v>
                </c:pt>
                <c:pt idx="377">
                  <c:v>0.74010269606093759</c:v>
                </c:pt>
                <c:pt idx="378">
                  <c:v>0.71988935334532989</c:v>
                </c:pt>
                <c:pt idx="379">
                  <c:v>0.49477727967375817</c:v>
                </c:pt>
                <c:pt idx="380">
                  <c:v>0.76440936828443862</c:v>
                </c:pt>
                <c:pt idx="381">
                  <c:v>0.3476992995115753</c:v>
                </c:pt>
                <c:pt idx="382">
                  <c:v>0.72175974160946654</c:v>
                </c:pt>
                <c:pt idx="383">
                  <c:v>0.63389718195227895</c:v>
                </c:pt>
                <c:pt idx="384">
                  <c:v>0.33140361214620939</c:v>
                </c:pt>
                <c:pt idx="385">
                  <c:v>0.39514041190487559</c:v>
                </c:pt>
                <c:pt idx="386">
                  <c:v>0.74434886145694845</c:v>
                </c:pt>
                <c:pt idx="387">
                  <c:v>0.64890126030594431</c:v>
                </c:pt>
                <c:pt idx="388">
                  <c:v>0.43992213728546692</c:v>
                </c:pt>
                <c:pt idx="389">
                  <c:v>0.61998161692303655</c:v>
                </c:pt>
                <c:pt idx="390">
                  <c:v>0.22201942086449566</c:v>
                </c:pt>
                <c:pt idx="391">
                  <c:v>0.61740273553968117</c:v>
                </c:pt>
                <c:pt idx="392">
                  <c:v>0.76482349791253013</c:v>
                </c:pt>
                <c:pt idx="393">
                  <c:v>0.29025489036459362</c:v>
                </c:pt>
                <c:pt idx="394">
                  <c:v>0.79635628023618543</c:v>
                </c:pt>
                <c:pt idx="395">
                  <c:v>0.62632160725641239</c:v>
                </c:pt>
                <c:pt idx="396">
                  <c:v>0.69773341710758818</c:v>
                </c:pt>
                <c:pt idx="397">
                  <c:v>0.76534033764919185</c:v>
                </c:pt>
                <c:pt idx="398">
                  <c:v>0.58125363002506414</c:v>
                </c:pt>
                <c:pt idx="399">
                  <c:v>0.378666852248011</c:v>
                </c:pt>
                <c:pt idx="400">
                  <c:v>0.40574233524439363</c:v>
                </c:pt>
                <c:pt idx="401">
                  <c:v>0.4288279870264613</c:v>
                </c:pt>
                <c:pt idx="402">
                  <c:v>0.51062007445478153</c:v>
                </c:pt>
                <c:pt idx="403">
                  <c:v>0.93140013245834896</c:v>
                </c:pt>
                <c:pt idx="404">
                  <c:v>0.93783252277047113</c:v>
                </c:pt>
                <c:pt idx="405">
                  <c:v>0.55715107594842372</c:v>
                </c:pt>
                <c:pt idx="406">
                  <c:v>0.50980809162135254</c:v>
                </c:pt>
                <c:pt idx="407">
                  <c:v>0.93723944379345747</c:v>
                </c:pt>
                <c:pt idx="408">
                  <c:v>0.56255711296148969</c:v>
                </c:pt>
                <c:pt idx="409">
                  <c:v>0.8144179764290731</c:v>
                </c:pt>
                <c:pt idx="410">
                  <c:v>0.70832211521371025</c:v>
                </c:pt>
                <c:pt idx="411">
                  <c:v>1.0460526059372306</c:v>
                </c:pt>
                <c:pt idx="412">
                  <c:v>0.32633105274712726</c:v>
                </c:pt>
                <c:pt idx="413">
                  <c:v>0.77862444436109191</c:v>
                </c:pt>
                <c:pt idx="414">
                  <c:v>0.42284261333679884</c:v>
                </c:pt>
                <c:pt idx="415">
                  <c:v>0.43395593181025682</c:v>
                </c:pt>
                <c:pt idx="416">
                  <c:v>0.54262762359232508</c:v>
                </c:pt>
                <c:pt idx="417">
                  <c:v>0.61973934761510674</c:v>
                </c:pt>
                <c:pt idx="418">
                  <c:v>0.44930577778748138</c:v>
                </c:pt>
                <c:pt idx="419">
                  <c:v>0.55476911554038599</c:v>
                </c:pt>
                <c:pt idx="420">
                  <c:v>0.62508266971207727</c:v>
                </c:pt>
                <c:pt idx="421">
                  <c:v>0.71165114660296847</c:v>
                </c:pt>
                <c:pt idx="422">
                  <c:v>9.6169391206654353E-2</c:v>
                </c:pt>
                <c:pt idx="423">
                  <c:v>0.60513504198440571</c:v>
                </c:pt>
                <c:pt idx="424">
                  <c:v>0.79828729997688153</c:v>
                </c:pt>
                <c:pt idx="425">
                  <c:v>0.43218129117936632</c:v>
                </c:pt>
                <c:pt idx="426">
                  <c:v>0.35732296156426036</c:v>
                </c:pt>
                <c:pt idx="427">
                  <c:v>1.2288767942616279</c:v>
                </c:pt>
                <c:pt idx="428">
                  <c:v>0.46496303369628622</c:v>
                </c:pt>
                <c:pt idx="429">
                  <c:v>0.37664944439543668</c:v>
                </c:pt>
                <c:pt idx="430">
                  <c:v>0.64956918778517014</c:v>
                </c:pt>
                <c:pt idx="431">
                  <c:v>0.45233984618293732</c:v>
                </c:pt>
                <c:pt idx="432">
                  <c:v>0.99796806370404423</c:v>
                </c:pt>
                <c:pt idx="433">
                  <c:v>0.86712731745282534</c:v>
                </c:pt>
                <c:pt idx="434">
                  <c:v>0.86517846874648785</c:v>
                </c:pt>
                <c:pt idx="435">
                  <c:v>0.66066000537966318</c:v>
                </c:pt>
                <c:pt idx="436">
                  <c:v>0.8229188867300874</c:v>
                </c:pt>
                <c:pt idx="437">
                  <c:v>0.72185577685645375</c:v>
                </c:pt>
                <c:pt idx="438">
                  <c:v>0.49086970571338306</c:v>
                </c:pt>
                <c:pt idx="439">
                  <c:v>0.70241360137717535</c:v>
                </c:pt>
                <c:pt idx="440">
                  <c:v>0.80864964429116282</c:v>
                </c:pt>
                <c:pt idx="441">
                  <c:v>0.7504252556754698</c:v>
                </c:pt>
                <c:pt idx="442">
                  <c:v>0.63929254288726667</c:v>
                </c:pt>
                <c:pt idx="443">
                  <c:v>0.63719696715636975</c:v>
                </c:pt>
                <c:pt idx="444">
                  <c:v>0.47420038633128381</c:v>
                </c:pt>
                <c:pt idx="445">
                  <c:v>0.82552752150104447</c:v>
                </c:pt>
                <c:pt idx="446">
                  <c:v>0.43789168293396097</c:v>
                </c:pt>
                <c:pt idx="447">
                  <c:v>0.80879480239683788</c:v>
                </c:pt>
                <c:pt idx="448">
                  <c:v>0.3680045188911818</c:v>
                </c:pt>
                <c:pt idx="449">
                  <c:v>0.61939866905385643</c:v>
                </c:pt>
                <c:pt idx="450">
                  <c:v>0.57015467665811537</c:v>
                </c:pt>
                <c:pt idx="451">
                  <c:v>0.77570061807371604</c:v>
                </c:pt>
                <c:pt idx="452">
                  <c:v>0.84839053607920989</c:v>
                </c:pt>
                <c:pt idx="453">
                  <c:v>0.68395862464275026</c:v>
                </c:pt>
                <c:pt idx="454">
                  <c:v>0.56615799264596678</c:v>
                </c:pt>
                <c:pt idx="455">
                  <c:v>0.66035039949782859</c:v>
                </c:pt>
                <c:pt idx="456">
                  <c:v>0.77390731366179777</c:v>
                </c:pt>
                <c:pt idx="457">
                  <c:v>0.60265345538854587</c:v>
                </c:pt>
                <c:pt idx="458">
                  <c:v>0.81045122397525193</c:v>
                </c:pt>
                <c:pt idx="459">
                  <c:v>0.65398856620939227</c:v>
                </c:pt>
                <c:pt idx="460">
                  <c:v>0.58756002984605793</c:v>
                </c:pt>
                <c:pt idx="461">
                  <c:v>0.47582529834102139</c:v>
                </c:pt>
                <c:pt idx="462">
                  <c:v>0.24701172981815467</c:v>
                </c:pt>
                <c:pt idx="463">
                  <c:v>0.75470592335089548</c:v>
                </c:pt>
                <c:pt idx="464">
                  <c:v>0.75588952689774236</c:v>
                </c:pt>
                <c:pt idx="465">
                  <c:v>0.40284401829583594</c:v>
                </c:pt>
                <c:pt idx="466">
                  <c:v>0.87957757290892968</c:v>
                </c:pt>
                <c:pt idx="467">
                  <c:v>0.57146735926932535</c:v>
                </c:pt>
                <c:pt idx="468">
                  <c:v>0.46224642189403697</c:v>
                </c:pt>
                <c:pt idx="469">
                  <c:v>0.65650687991049095</c:v>
                </c:pt>
                <c:pt idx="470">
                  <c:v>0.61078345559738501</c:v>
                </c:pt>
                <c:pt idx="471">
                  <c:v>0.81874063777857309</c:v>
                </c:pt>
                <c:pt idx="472">
                  <c:v>0.38368675558652221</c:v>
                </c:pt>
                <c:pt idx="473">
                  <c:v>0.67392369680204522</c:v>
                </c:pt>
                <c:pt idx="474">
                  <c:v>0.56119828163846419</c:v>
                </c:pt>
                <c:pt idx="475">
                  <c:v>0.7571164770682941</c:v>
                </c:pt>
                <c:pt idx="476">
                  <c:v>0.73966540574226936</c:v>
                </c:pt>
                <c:pt idx="477">
                  <c:v>0.51260136495453712</c:v>
                </c:pt>
                <c:pt idx="478">
                  <c:v>0.69830135697754492</c:v>
                </c:pt>
                <c:pt idx="479">
                  <c:v>0.50611898655146392</c:v>
                </c:pt>
                <c:pt idx="480">
                  <c:v>0.59304533911485402</c:v>
                </c:pt>
                <c:pt idx="481">
                  <c:v>0.68549906288059015</c:v>
                </c:pt>
                <c:pt idx="482">
                  <c:v>0.8819985485312829</c:v>
                </c:pt>
                <c:pt idx="483">
                  <c:v>0.47836841018002341</c:v>
                </c:pt>
                <c:pt idx="484">
                  <c:v>0.57547688541149666</c:v>
                </c:pt>
                <c:pt idx="485">
                  <c:v>0.73803750321100248</c:v>
                </c:pt>
                <c:pt idx="486">
                  <c:v>0.19139710676623878</c:v>
                </c:pt>
                <c:pt idx="487">
                  <c:v>0.47013860351081305</c:v>
                </c:pt>
                <c:pt idx="488">
                  <c:v>0.74547839843126806</c:v>
                </c:pt>
                <c:pt idx="489">
                  <c:v>0.79103987127996844</c:v>
                </c:pt>
                <c:pt idx="490">
                  <c:v>0.5452816828232383</c:v>
                </c:pt>
                <c:pt idx="491">
                  <c:v>0.47796006974446192</c:v>
                </c:pt>
                <c:pt idx="492">
                  <c:v>0.17367842491784447</c:v>
                </c:pt>
                <c:pt idx="493">
                  <c:v>0.43764813636944244</c:v>
                </c:pt>
                <c:pt idx="494">
                  <c:v>0.68284260446199907</c:v>
                </c:pt>
                <c:pt idx="495">
                  <c:v>0.34078644357604504</c:v>
                </c:pt>
                <c:pt idx="496">
                  <c:v>0.37052228619256899</c:v>
                </c:pt>
                <c:pt idx="497">
                  <c:v>0.68284459412611764</c:v>
                </c:pt>
                <c:pt idx="498">
                  <c:v>0.90157928040854163</c:v>
                </c:pt>
                <c:pt idx="499">
                  <c:v>0.53169861273075392</c:v>
                </c:pt>
                <c:pt idx="500">
                  <c:v>0.81535310148328555</c:v>
                </c:pt>
                <c:pt idx="501">
                  <c:v>0.63551898410552643</c:v>
                </c:pt>
                <c:pt idx="502">
                  <c:v>0.5444250609581216</c:v>
                </c:pt>
                <c:pt idx="503">
                  <c:v>0.42631553469070016</c:v>
                </c:pt>
                <c:pt idx="504">
                  <c:v>0.45810105715751903</c:v>
                </c:pt>
                <c:pt idx="505">
                  <c:v>0.56296654768790289</c:v>
                </c:pt>
                <c:pt idx="506">
                  <c:v>0.8176820902335924</c:v>
                </c:pt>
                <c:pt idx="507">
                  <c:v>0.70835805098745075</c:v>
                </c:pt>
                <c:pt idx="508">
                  <c:v>0.44544953319661063</c:v>
                </c:pt>
                <c:pt idx="509">
                  <c:v>0.84336088063204206</c:v>
                </c:pt>
                <c:pt idx="510">
                  <c:v>0.57745041690297172</c:v>
                </c:pt>
                <c:pt idx="511">
                  <c:v>0.73832911199722173</c:v>
                </c:pt>
                <c:pt idx="512">
                  <c:v>0.41341538194953231</c:v>
                </c:pt>
                <c:pt idx="513">
                  <c:v>0.55383483169040715</c:v>
                </c:pt>
                <c:pt idx="514">
                  <c:v>0.71069705669004657</c:v>
                </c:pt>
                <c:pt idx="515">
                  <c:v>0.56345657262773607</c:v>
                </c:pt>
                <c:pt idx="516">
                  <c:v>0.80873790356916864</c:v>
                </c:pt>
                <c:pt idx="517">
                  <c:v>0.22428140074057024</c:v>
                </c:pt>
                <c:pt idx="518">
                  <c:v>0.75831198708833791</c:v>
                </c:pt>
                <c:pt idx="519">
                  <c:v>0.59554244972777171</c:v>
                </c:pt>
                <c:pt idx="520">
                  <c:v>0.62387742186908945</c:v>
                </c:pt>
                <c:pt idx="521">
                  <c:v>0.60030966583959411</c:v>
                </c:pt>
                <c:pt idx="522">
                  <c:v>0.8372279693275857</c:v>
                </c:pt>
                <c:pt idx="523">
                  <c:v>0.93635240882747572</c:v>
                </c:pt>
                <c:pt idx="524">
                  <c:v>0.96708493918466987</c:v>
                </c:pt>
                <c:pt idx="525">
                  <c:v>0.85995856575950858</c:v>
                </c:pt>
                <c:pt idx="526">
                  <c:v>0.55481589251058483</c:v>
                </c:pt>
                <c:pt idx="527">
                  <c:v>0.39947530826967448</c:v>
                </c:pt>
                <c:pt idx="528">
                  <c:v>0.37156468024818046</c:v>
                </c:pt>
                <c:pt idx="529">
                  <c:v>0.566203863259511</c:v>
                </c:pt>
                <c:pt idx="530">
                  <c:v>0.8551118158519726</c:v>
                </c:pt>
                <c:pt idx="531">
                  <c:v>0.61667833913724723</c:v>
                </c:pt>
                <c:pt idx="532">
                  <c:v>0.66598273533047148</c:v>
                </c:pt>
                <c:pt idx="533">
                  <c:v>0.74573088948768329</c:v>
                </c:pt>
                <c:pt idx="534">
                  <c:v>0.5530404235890225</c:v>
                </c:pt>
                <c:pt idx="535">
                  <c:v>0.6639411385494316</c:v>
                </c:pt>
                <c:pt idx="536">
                  <c:v>0.58260133676344839</c:v>
                </c:pt>
                <c:pt idx="537">
                  <c:v>0.55516622253473069</c:v>
                </c:pt>
                <c:pt idx="538">
                  <c:v>1.1618841829200093</c:v>
                </c:pt>
                <c:pt idx="539">
                  <c:v>0.63230303471875504</c:v>
                </c:pt>
                <c:pt idx="540">
                  <c:v>0.36259362234605752</c:v>
                </c:pt>
                <c:pt idx="541">
                  <c:v>0.45525515244043624</c:v>
                </c:pt>
                <c:pt idx="542">
                  <c:v>1.0387137259002734</c:v>
                </c:pt>
                <c:pt idx="543">
                  <c:v>0.4106485080238822</c:v>
                </c:pt>
                <c:pt idx="544">
                  <c:v>1.0056777712439946</c:v>
                </c:pt>
                <c:pt idx="545">
                  <c:v>0.75932853151326918</c:v>
                </c:pt>
                <c:pt idx="546">
                  <c:v>0.35861748204582988</c:v>
                </c:pt>
                <c:pt idx="547">
                  <c:v>0.75623312574732604</c:v>
                </c:pt>
                <c:pt idx="548">
                  <c:v>0.54426688993038241</c:v>
                </c:pt>
                <c:pt idx="549">
                  <c:v>0.73951963712989177</c:v>
                </c:pt>
                <c:pt idx="550">
                  <c:v>0.74283541128485675</c:v>
                </c:pt>
                <c:pt idx="551">
                  <c:v>0.70046015964326958</c:v>
                </c:pt>
                <c:pt idx="552">
                  <c:v>0.91943394096149267</c:v>
                </c:pt>
                <c:pt idx="553">
                  <c:v>0.58923228407084371</c:v>
                </c:pt>
                <c:pt idx="554">
                  <c:v>0.47649981355917026</c:v>
                </c:pt>
                <c:pt idx="555">
                  <c:v>0.52641116894127404</c:v>
                </c:pt>
                <c:pt idx="556">
                  <c:v>0.43108643808324776</c:v>
                </c:pt>
                <c:pt idx="557">
                  <c:v>0.69649200581742021</c:v>
                </c:pt>
                <c:pt idx="558">
                  <c:v>0.62845356272726849</c:v>
                </c:pt>
                <c:pt idx="559">
                  <c:v>0.75201083539556879</c:v>
                </c:pt>
                <c:pt idx="560">
                  <c:v>1.1113168595107177</c:v>
                </c:pt>
                <c:pt idx="561">
                  <c:v>0.83666513795723874</c:v>
                </c:pt>
                <c:pt idx="562">
                  <c:v>0.90970490751198541</c:v>
                </c:pt>
                <c:pt idx="563">
                  <c:v>0.71808353906500355</c:v>
                </c:pt>
                <c:pt idx="564">
                  <c:v>0.93766661983139987</c:v>
                </c:pt>
                <c:pt idx="565">
                  <c:v>1.0379552019417091</c:v>
                </c:pt>
                <c:pt idx="566">
                  <c:v>0.32464240651088616</c:v>
                </c:pt>
                <c:pt idx="567">
                  <c:v>0.78652711361138161</c:v>
                </c:pt>
                <c:pt idx="568">
                  <c:v>0.69983508221608548</c:v>
                </c:pt>
                <c:pt idx="569">
                  <c:v>0.66322158714959012</c:v>
                </c:pt>
                <c:pt idx="570">
                  <c:v>0.33308175648493621</c:v>
                </c:pt>
                <c:pt idx="571">
                  <c:v>0.28033496277798786</c:v>
                </c:pt>
                <c:pt idx="572">
                  <c:v>0.76746420518215785</c:v>
                </c:pt>
                <c:pt idx="573">
                  <c:v>0.30910198674064637</c:v>
                </c:pt>
                <c:pt idx="574">
                  <c:v>0.7112784076397729</c:v>
                </c:pt>
                <c:pt idx="575">
                  <c:v>0.29144740195591368</c:v>
                </c:pt>
                <c:pt idx="576">
                  <c:v>0.65359746804199115</c:v>
                </c:pt>
                <c:pt idx="577">
                  <c:v>0.79852363341241861</c:v>
                </c:pt>
                <c:pt idx="578">
                  <c:v>0.73107817053006374</c:v>
                </c:pt>
                <c:pt idx="579">
                  <c:v>0.75405053353737395</c:v>
                </c:pt>
                <c:pt idx="580">
                  <c:v>0.43685601504831539</c:v>
                </c:pt>
                <c:pt idx="581">
                  <c:v>0.69240112204253257</c:v>
                </c:pt>
                <c:pt idx="582">
                  <c:v>0.30116745647912802</c:v>
                </c:pt>
                <c:pt idx="583">
                  <c:v>0.66991111587850694</c:v>
                </c:pt>
                <c:pt idx="584">
                  <c:v>0.5377825875622082</c:v>
                </c:pt>
                <c:pt idx="585">
                  <c:v>0.76643800978240484</c:v>
                </c:pt>
                <c:pt idx="586">
                  <c:v>0.38694808201601538</c:v>
                </c:pt>
                <c:pt idx="587">
                  <c:v>0.75161192223775486</c:v>
                </c:pt>
                <c:pt idx="588">
                  <c:v>0.44483535358275517</c:v>
                </c:pt>
                <c:pt idx="589">
                  <c:v>0.50231016687920893</c:v>
                </c:pt>
                <c:pt idx="590">
                  <c:v>0.77459561400375287</c:v>
                </c:pt>
                <c:pt idx="591">
                  <c:v>0.48669599292101529</c:v>
                </c:pt>
                <c:pt idx="592">
                  <c:v>0.81373341929876819</c:v>
                </c:pt>
                <c:pt idx="593">
                  <c:v>0.21888140708926285</c:v>
                </c:pt>
                <c:pt idx="594">
                  <c:v>0.51931781761179274</c:v>
                </c:pt>
                <c:pt idx="595">
                  <c:v>0.77883273017114107</c:v>
                </c:pt>
                <c:pt idx="596">
                  <c:v>0.10930177738686453</c:v>
                </c:pt>
                <c:pt idx="597">
                  <c:v>0.91227083706442191</c:v>
                </c:pt>
                <c:pt idx="598">
                  <c:v>0.95067180054888789</c:v>
                </c:pt>
                <c:pt idx="599">
                  <c:v>0.62304137098253487</c:v>
                </c:pt>
                <c:pt idx="600">
                  <c:v>0.67780998550189775</c:v>
                </c:pt>
                <c:pt idx="601">
                  <c:v>0.33629479929294903</c:v>
                </c:pt>
                <c:pt idx="602">
                  <c:v>0.83204672002031099</c:v>
                </c:pt>
                <c:pt idx="603">
                  <c:v>1.1111523008393183</c:v>
                </c:pt>
                <c:pt idx="604">
                  <c:v>0.32942212368078971</c:v>
                </c:pt>
                <c:pt idx="605">
                  <c:v>0.56610228117912076</c:v>
                </c:pt>
                <c:pt idx="606">
                  <c:v>0.5167931338293108</c:v>
                </c:pt>
                <c:pt idx="607">
                  <c:v>0.53510942733003453</c:v>
                </c:pt>
                <c:pt idx="608">
                  <c:v>0.67415195351248336</c:v>
                </c:pt>
                <c:pt idx="609">
                  <c:v>0.97916143488609531</c:v>
                </c:pt>
                <c:pt idx="610">
                  <c:v>0.403198461264622</c:v>
                </c:pt>
                <c:pt idx="611">
                  <c:v>0.89046923309792736</c:v>
                </c:pt>
                <c:pt idx="612">
                  <c:v>0.70743691380669693</c:v>
                </c:pt>
                <c:pt idx="613">
                  <c:v>0.68252349598935669</c:v>
                </c:pt>
                <c:pt idx="614">
                  <c:v>0.31742077961044113</c:v>
                </c:pt>
                <c:pt idx="615">
                  <c:v>0.93913125272480324</c:v>
                </c:pt>
                <c:pt idx="616">
                  <c:v>0.57850559971299398</c:v>
                </c:pt>
                <c:pt idx="617">
                  <c:v>0.73950974982337914</c:v>
                </c:pt>
                <c:pt idx="618">
                  <c:v>1.1914109559436254</c:v>
                </c:pt>
                <c:pt idx="619">
                  <c:v>0.44758685305290591</c:v>
                </c:pt>
                <c:pt idx="620">
                  <c:v>0.87407706480889158</c:v>
                </c:pt>
                <c:pt idx="621">
                  <c:v>0.77941765648614303</c:v>
                </c:pt>
                <c:pt idx="622">
                  <c:v>0.65596386769971216</c:v>
                </c:pt>
                <c:pt idx="623">
                  <c:v>0.66793060390687264</c:v>
                </c:pt>
                <c:pt idx="624">
                  <c:v>0.66703831291650029</c:v>
                </c:pt>
                <c:pt idx="625">
                  <c:v>0.55011496117246672</c:v>
                </c:pt>
                <c:pt idx="626">
                  <c:v>0.69798565773716414</c:v>
                </c:pt>
                <c:pt idx="627">
                  <c:v>0.4982262727851654</c:v>
                </c:pt>
                <c:pt idx="628">
                  <c:v>0.71651730164896565</c:v>
                </c:pt>
                <c:pt idx="629">
                  <c:v>0.48485358231790676</c:v>
                </c:pt>
                <c:pt idx="630">
                  <c:v>0.60601745189098688</c:v>
                </c:pt>
                <c:pt idx="631">
                  <c:v>0.48367968066401335</c:v>
                </c:pt>
                <c:pt idx="632">
                  <c:v>0.67354935781266856</c:v>
                </c:pt>
                <c:pt idx="633">
                  <c:v>0.60207713310469502</c:v>
                </c:pt>
                <c:pt idx="634">
                  <c:v>0.48297273641330007</c:v>
                </c:pt>
                <c:pt idx="635">
                  <c:v>0.44881996319218853</c:v>
                </c:pt>
                <c:pt idx="636">
                  <c:v>0.87407995486410117</c:v>
                </c:pt>
                <c:pt idx="637">
                  <c:v>0.52013242980482022</c:v>
                </c:pt>
                <c:pt idx="638">
                  <c:v>0.73702620308682443</c:v>
                </c:pt>
                <c:pt idx="639">
                  <c:v>0.5969384348430935</c:v>
                </c:pt>
                <c:pt idx="640">
                  <c:v>0.55035679695210526</c:v>
                </c:pt>
                <c:pt idx="641">
                  <c:v>0.70099590163640957</c:v>
                </c:pt>
                <c:pt idx="642">
                  <c:v>1.0294851794314275</c:v>
                </c:pt>
                <c:pt idx="643">
                  <c:v>0.55404820455473414</c:v>
                </c:pt>
                <c:pt idx="644">
                  <c:v>0.51267177641015982</c:v>
                </c:pt>
                <c:pt idx="645">
                  <c:v>0.75456518507487802</c:v>
                </c:pt>
                <c:pt idx="646">
                  <c:v>0.65473971491430771</c:v>
                </c:pt>
                <c:pt idx="647">
                  <c:v>0.75190739674899865</c:v>
                </c:pt>
                <c:pt idx="648">
                  <c:v>0.75355386482799069</c:v>
                </c:pt>
                <c:pt idx="649">
                  <c:v>0.67675694891311688</c:v>
                </c:pt>
                <c:pt idx="650">
                  <c:v>0.29454292732196796</c:v>
                </c:pt>
                <c:pt idx="651">
                  <c:v>0.74016841108604225</c:v>
                </c:pt>
                <c:pt idx="652">
                  <c:v>0.58341541685022347</c:v>
                </c:pt>
                <c:pt idx="653">
                  <c:v>0.11506823852235559</c:v>
                </c:pt>
                <c:pt idx="654">
                  <c:v>0.67907489363645968</c:v>
                </c:pt>
                <c:pt idx="655">
                  <c:v>0.65110629384952046</c:v>
                </c:pt>
                <c:pt idx="656">
                  <c:v>0.70820696196694155</c:v>
                </c:pt>
                <c:pt idx="657">
                  <c:v>0.67901419396338669</c:v>
                </c:pt>
                <c:pt idx="658">
                  <c:v>0.99787232125601233</c:v>
                </c:pt>
                <c:pt idx="659">
                  <c:v>0.35309945403165655</c:v>
                </c:pt>
                <c:pt idx="660">
                  <c:v>0.430781936325763</c:v>
                </c:pt>
                <c:pt idx="661">
                  <c:v>0.78827473370377299</c:v>
                </c:pt>
                <c:pt idx="662">
                  <c:v>0.66653988092397953</c:v>
                </c:pt>
                <c:pt idx="663">
                  <c:v>0.58601023469600411</c:v>
                </c:pt>
                <c:pt idx="664">
                  <c:v>0.4552521027240457</c:v>
                </c:pt>
                <c:pt idx="665">
                  <c:v>0.24622043629593149</c:v>
                </c:pt>
                <c:pt idx="666">
                  <c:v>0.5533386002464995</c:v>
                </c:pt>
                <c:pt idx="667">
                  <c:v>1.0045726007909537</c:v>
                </c:pt>
                <c:pt idx="668">
                  <c:v>0.7810876325629097</c:v>
                </c:pt>
                <c:pt idx="669">
                  <c:v>0.85984414747912852</c:v>
                </c:pt>
                <c:pt idx="670">
                  <c:v>0.346395797687437</c:v>
                </c:pt>
                <c:pt idx="671">
                  <c:v>0.88928915533740516</c:v>
                </c:pt>
                <c:pt idx="672">
                  <c:v>0.94909276159092482</c:v>
                </c:pt>
                <c:pt idx="673">
                  <c:v>0.64235680598425771</c:v>
                </c:pt>
                <c:pt idx="674">
                  <c:v>0.58361904345401827</c:v>
                </c:pt>
                <c:pt idx="675">
                  <c:v>0.57346124027594114</c:v>
                </c:pt>
                <c:pt idx="676">
                  <c:v>0.70735680614332863</c:v>
                </c:pt>
                <c:pt idx="677">
                  <c:v>0.38149950923294051</c:v>
                </c:pt>
                <c:pt idx="678">
                  <c:v>0.42471900063301349</c:v>
                </c:pt>
                <c:pt idx="679">
                  <c:v>0.52948257979926194</c:v>
                </c:pt>
                <c:pt idx="680">
                  <c:v>0.63274015909694592</c:v>
                </c:pt>
                <c:pt idx="681">
                  <c:v>0.3895992962241106</c:v>
                </c:pt>
                <c:pt idx="682">
                  <c:v>0.92723010944512252</c:v>
                </c:pt>
                <c:pt idx="683">
                  <c:v>0.50994571830562996</c:v>
                </c:pt>
                <c:pt idx="684">
                  <c:v>0.53337052069560831</c:v>
                </c:pt>
                <c:pt idx="685">
                  <c:v>0.38564913449458027</c:v>
                </c:pt>
                <c:pt idx="686">
                  <c:v>0.68785899488002333</c:v>
                </c:pt>
                <c:pt idx="687">
                  <c:v>0.60489004725261952</c:v>
                </c:pt>
                <c:pt idx="688">
                  <c:v>0.92933473772474362</c:v>
                </c:pt>
                <c:pt idx="689">
                  <c:v>0.55679941611442296</c:v>
                </c:pt>
                <c:pt idx="690">
                  <c:v>0.54433009040908575</c:v>
                </c:pt>
                <c:pt idx="691">
                  <c:v>0.78338499727748134</c:v>
                </c:pt>
                <c:pt idx="692">
                  <c:v>0.41706880499856358</c:v>
                </c:pt>
                <c:pt idx="693">
                  <c:v>0.62896475568578181</c:v>
                </c:pt>
                <c:pt idx="694">
                  <c:v>0.89047333496297187</c:v>
                </c:pt>
                <c:pt idx="695">
                  <c:v>0.80101178605467971</c:v>
                </c:pt>
                <c:pt idx="696">
                  <c:v>0.85803326850853501</c:v>
                </c:pt>
                <c:pt idx="697">
                  <c:v>0.80313180610727408</c:v>
                </c:pt>
                <c:pt idx="698">
                  <c:v>0.9140206384629932</c:v>
                </c:pt>
                <c:pt idx="699">
                  <c:v>0.70327306107125875</c:v>
                </c:pt>
                <c:pt idx="700">
                  <c:v>0.90921176128255476</c:v>
                </c:pt>
                <c:pt idx="701">
                  <c:v>0.73987637267763984</c:v>
                </c:pt>
                <c:pt idx="702">
                  <c:v>0.34277540492434277</c:v>
                </c:pt>
                <c:pt idx="703">
                  <c:v>0.74864285385998497</c:v>
                </c:pt>
                <c:pt idx="704">
                  <c:v>0.81055496271753324</c:v>
                </c:pt>
                <c:pt idx="705">
                  <c:v>0.1951477836521216</c:v>
                </c:pt>
                <c:pt idx="706">
                  <c:v>0.87093533394347333</c:v>
                </c:pt>
                <c:pt idx="707">
                  <c:v>0.45030488800224511</c:v>
                </c:pt>
                <c:pt idx="708">
                  <c:v>0.45239692037839352</c:v>
                </c:pt>
                <c:pt idx="709">
                  <c:v>0.43187020610142102</c:v>
                </c:pt>
                <c:pt idx="710">
                  <c:v>0.81449369515755676</c:v>
                </c:pt>
                <c:pt idx="711">
                  <c:v>0.54103575806966875</c:v>
                </c:pt>
                <c:pt idx="712">
                  <c:v>0.58669180509077479</c:v>
                </c:pt>
                <c:pt idx="713">
                  <c:v>0.86259136394136937</c:v>
                </c:pt>
                <c:pt idx="714">
                  <c:v>0.56341709040629628</c:v>
                </c:pt>
                <c:pt idx="715">
                  <c:v>0.72518489782009254</c:v>
                </c:pt>
                <c:pt idx="716">
                  <c:v>0.62600816575567064</c:v>
                </c:pt>
                <c:pt idx="717">
                  <c:v>0.41564908144709523</c:v>
                </c:pt>
                <c:pt idx="718">
                  <c:v>0.81350446346795446</c:v>
                </c:pt>
                <c:pt idx="719">
                  <c:v>0.6258851398118479</c:v>
                </c:pt>
                <c:pt idx="720">
                  <c:v>0.51199430555010705</c:v>
                </c:pt>
                <c:pt idx="721">
                  <c:v>0.76596884414887056</c:v>
                </c:pt>
                <c:pt idx="722">
                  <c:v>0.50285318057127015</c:v>
                </c:pt>
                <c:pt idx="723">
                  <c:v>0.65087715813327818</c:v>
                </c:pt>
                <c:pt idx="724">
                  <c:v>0.84060758068700236</c:v>
                </c:pt>
                <c:pt idx="725">
                  <c:v>0.63423801702824822</c:v>
                </c:pt>
                <c:pt idx="726">
                  <c:v>0.54701643132029032</c:v>
                </c:pt>
                <c:pt idx="727">
                  <c:v>0.33760352844190966</c:v>
                </c:pt>
                <c:pt idx="728">
                  <c:v>0.73685085912332249</c:v>
                </c:pt>
                <c:pt idx="729">
                  <c:v>0.50874913216798356</c:v>
                </c:pt>
                <c:pt idx="730">
                  <c:v>0.48732695975854701</c:v>
                </c:pt>
                <c:pt idx="731">
                  <c:v>0.41785306538295197</c:v>
                </c:pt>
                <c:pt idx="732">
                  <c:v>0.49605100429779014</c:v>
                </c:pt>
                <c:pt idx="733">
                  <c:v>0.51999731279195527</c:v>
                </c:pt>
                <c:pt idx="734">
                  <c:v>0.77975579367892656</c:v>
                </c:pt>
                <c:pt idx="735">
                  <c:v>0.3968752107766087</c:v>
                </c:pt>
                <c:pt idx="736">
                  <c:v>0.58070376999028261</c:v>
                </c:pt>
                <c:pt idx="737">
                  <c:v>0.58647487376609897</c:v>
                </c:pt>
                <c:pt idx="738">
                  <c:v>0.69320136292629564</c:v>
                </c:pt>
                <c:pt idx="739">
                  <c:v>0.37728061935322921</c:v>
                </c:pt>
                <c:pt idx="740">
                  <c:v>0.73466503311691644</c:v>
                </c:pt>
                <c:pt idx="741">
                  <c:v>0.48361221078977068</c:v>
                </c:pt>
                <c:pt idx="742">
                  <c:v>0.23926580640529194</c:v>
                </c:pt>
                <c:pt idx="743">
                  <c:v>0.75118473298915234</c:v>
                </c:pt>
                <c:pt idx="744">
                  <c:v>0.53882703500375118</c:v>
                </c:pt>
                <c:pt idx="745">
                  <c:v>0.62722961675651345</c:v>
                </c:pt>
                <c:pt idx="746">
                  <c:v>0.8016300418685105</c:v>
                </c:pt>
                <c:pt idx="747">
                  <c:v>0.59599692095097034</c:v>
                </c:pt>
                <c:pt idx="748">
                  <c:v>0.79201478574331086</c:v>
                </c:pt>
                <c:pt idx="749">
                  <c:v>0.92535062042277261</c:v>
                </c:pt>
                <c:pt idx="750">
                  <c:v>0.45964294257321847</c:v>
                </c:pt>
                <c:pt idx="751">
                  <c:v>0.59557026723935524</c:v>
                </c:pt>
                <c:pt idx="752">
                  <c:v>0.53025545412529174</c:v>
                </c:pt>
                <c:pt idx="753">
                  <c:v>0.61693213247162726</c:v>
                </c:pt>
                <c:pt idx="754">
                  <c:v>0.48506373865928754</c:v>
                </c:pt>
                <c:pt idx="755">
                  <c:v>0.72241638352058524</c:v>
                </c:pt>
                <c:pt idx="756">
                  <c:v>0.64674760282532096</c:v>
                </c:pt>
                <c:pt idx="757">
                  <c:v>0.79499206624344132</c:v>
                </c:pt>
                <c:pt idx="758">
                  <c:v>0.73644383933455382</c:v>
                </c:pt>
                <c:pt idx="759">
                  <c:v>0.30071682618407047</c:v>
                </c:pt>
                <c:pt idx="760">
                  <c:v>0.59203986934599007</c:v>
                </c:pt>
                <c:pt idx="761">
                  <c:v>0.45329149995934248</c:v>
                </c:pt>
                <c:pt idx="762">
                  <c:v>0.67281303510312518</c:v>
                </c:pt>
                <c:pt idx="763">
                  <c:v>0.69574215304483222</c:v>
                </c:pt>
                <c:pt idx="764">
                  <c:v>0.27423554317087273</c:v>
                </c:pt>
                <c:pt idx="765">
                  <c:v>0.87941004358161146</c:v>
                </c:pt>
                <c:pt idx="766">
                  <c:v>0.45213229027049384</c:v>
                </c:pt>
                <c:pt idx="767">
                  <c:v>0.61247716838961819</c:v>
                </c:pt>
                <c:pt idx="768">
                  <c:v>0.28334485216343119</c:v>
                </c:pt>
                <c:pt idx="769">
                  <c:v>0.55679403057226629</c:v>
                </c:pt>
                <c:pt idx="770">
                  <c:v>0.82147025088198888</c:v>
                </c:pt>
                <c:pt idx="771">
                  <c:v>0.52497126781437053</c:v>
                </c:pt>
                <c:pt idx="772">
                  <c:v>0.79547416180976205</c:v>
                </c:pt>
                <c:pt idx="773">
                  <c:v>0.93316472979315135</c:v>
                </c:pt>
                <c:pt idx="774">
                  <c:v>0.3590424984408751</c:v>
                </c:pt>
                <c:pt idx="775">
                  <c:v>0.48727375937183237</c:v>
                </c:pt>
                <c:pt idx="776">
                  <c:v>0.43604257319124451</c:v>
                </c:pt>
                <c:pt idx="777">
                  <c:v>0.75049478813828507</c:v>
                </c:pt>
                <c:pt idx="778">
                  <c:v>0.70300739332256712</c:v>
                </c:pt>
                <c:pt idx="779">
                  <c:v>0.95518241784706559</c:v>
                </c:pt>
                <c:pt idx="780">
                  <c:v>0.51001913764518569</c:v>
                </c:pt>
                <c:pt idx="781">
                  <c:v>0.57617339979539706</c:v>
                </c:pt>
                <c:pt idx="782">
                  <c:v>0.70039246821870882</c:v>
                </c:pt>
                <c:pt idx="783">
                  <c:v>0.73475673154300081</c:v>
                </c:pt>
                <c:pt idx="784">
                  <c:v>0.56771455272055893</c:v>
                </c:pt>
                <c:pt idx="785">
                  <c:v>1.0248464055922069</c:v>
                </c:pt>
                <c:pt idx="786">
                  <c:v>0.74984652855609757</c:v>
                </c:pt>
                <c:pt idx="787">
                  <c:v>0.52111707832149601</c:v>
                </c:pt>
                <c:pt idx="788">
                  <c:v>0.56064479770288167</c:v>
                </c:pt>
                <c:pt idx="789">
                  <c:v>0.71975724155751775</c:v>
                </c:pt>
                <c:pt idx="790">
                  <c:v>0.44198620239392539</c:v>
                </c:pt>
                <c:pt idx="791">
                  <c:v>0.68586132177661363</c:v>
                </c:pt>
                <c:pt idx="792">
                  <c:v>0.88649154284520137</c:v>
                </c:pt>
                <c:pt idx="793">
                  <c:v>0.80054151340816704</c:v>
                </c:pt>
                <c:pt idx="794">
                  <c:v>0.79640002603479121</c:v>
                </c:pt>
                <c:pt idx="795">
                  <c:v>0.55854145566670188</c:v>
                </c:pt>
                <c:pt idx="796">
                  <c:v>0.58780709222300631</c:v>
                </c:pt>
                <c:pt idx="797">
                  <c:v>0.38792936133246192</c:v>
                </c:pt>
                <c:pt idx="798">
                  <c:v>0.51971610431702397</c:v>
                </c:pt>
                <c:pt idx="799">
                  <c:v>0.55720356123378756</c:v>
                </c:pt>
                <c:pt idx="800">
                  <c:v>0.90141622205531524</c:v>
                </c:pt>
                <c:pt idx="801">
                  <c:v>0.48796823763760488</c:v>
                </c:pt>
                <c:pt idx="802">
                  <c:v>0.28143109269478517</c:v>
                </c:pt>
                <c:pt idx="803">
                  <c:v>0.47850468991260575</c:v>
                </c:pt>
                <c:pt idx="804">
                  <c:v>0.79209487297683823</c:v>
                </c:pt>
                <c:pt idx="805">
                  <c:v>0.5741273531189226</c:v>
                </c:pt>
                <c:pt idx="806">
                  <c:v>0.66337263921446366</c:v>
                </c:pt>
                <c:pt idx="807">
                  <c:v>0.7054749607849502</c:v>
                </c:pt>
                <c:pt idx="808">
                  <c:v>0.5567148933044741</c:v>
                </c:pt>
                <c:pt idx="809">
                  <c:v>0.91494433314017387</c:v>
                </c:pt>
                <c:pt idx="810">
                  <c:v>0.58535693896452856</c:v>
                </c:pt>
                <c:pt idx="811">
                  <c:v>0.74330327810330665</c:v>
                </c:pt>
                <c:pt idx="812">
                  <c:v>0.59232386434674233</c:v>
                </c:pt>
                <c:pt idx="813">
                  <c:v>0.60617790296282092</c:v>
                </c:pt>
                <c:pt idx="814">
                  <c:v>0.71449074950654001</c:v>
                </c:pt>
                <c:pt idx="815">
                  <c:v>0.731397255495702</c:v>
                </c:pt>
                <c:pt idx="816">
                  <c:v>0.72795691221605519</c:v>
                </c:pt>
                <c:pt idx="817">
                  <c:v>0.75819932913625299</c:v>
                </c:pt>
                <c:pt idx="818">
                  <c:v>0.37064542830442404</c:v>
                </c:pt>
                <c:pt idx="819">
                  <c:v>0.74729620422724063</c:v>
                </c:pt>
                <c:pt idx="820">
                  <c:v>0.6997750025401126</c:v>
                </c:pt>
                <c:pt idx="821">
                  <c:v>0.44650991576604682</c:v>
                </c:pt>
                <c:pt idx="822">
                  <c:v>0.54585271983969164</c:v>
                </c:pt>
                <c:pt idx="823">
                  <c:v>0.62683583136269494</c:v>
                </c:pt>
                <c:pt idx="824">
                  <c:v>0.51984560324956708</c:v>
                </c:pt>
                <c:pt idx="825">
                  <c:v>0.58993577621633086</c:v>
                </c:pt>
                <c:pt idx="826">
                  <c:v>0.56177027634198784</c:v>
                </c:pt>
                <c:pt idx="827">
                  <c:v>1.0836964438844414</c:v>
                </c:pt>
                <c:pt idx="828">
                  <c:v>0.5104452991620132</c:v>
                </c:pt>
                <c:pt idx="829">
                  <c:v>0.84030766928305667</c:v>
                </c:pt>
                <c:pt idx="830">
                  <c:v>0.57200643409150453</c:v>
                </c:pt>
                <c:pt idx="831">
                  <c:v>0.49216968131889649</c:v>
                </c:pt>
                <c:pt idx="832">
                  <c:v>0.97176302233430789</c:v>
                </c:pt>
                <c:pt idx="833">
                  <c:v>0.4514309094496205</c:v>
                </c:pt>
                <c:pt idx="834">
                  <c:v>0.74295586443290218</c:v>
                </c:pt>
                <c:pt idx="835">
                  <c:v>0.3483747276569884</c:v>
                </c:pt>
                <c:pt idx="836">
                  <c:v>0.93396559019534253</c:v>
                </c:pt>
                <c:pt idx="837">
                  <c:v>0.76621707533835415</c:v>
                </c:pt>
                <c:pt idx="838">
                  <c:v>0.69056575173446388</c:v>
                </c:pt>
                <c:pt idx="839">
                  <c:v>0.59231932788440367</c:v>
                </c:pt>
                <c:pt idx="840">
                  <c:v>0.48577770053198743</c:v>
                </c:pt>
                <c:pt idx="841">
                  <c:v>0.27517034073260982</c:v>
                </c:pt>
                <c:pt idx="842">
                  <c:v>0.64704755853801732</c:v>
                </c:pt>
                <c:pt idx="843">
                  <c:v>0.55129982823070378</c:v>
                </c:pt>
                <c:pt idx="844">
                  <c:v>0.76349347594803807</c:v>
                </c:pt>
                <c:pt idx="845">
                  <c:v>0.69143052897796786</c:v>
                </c:pt>
                <c:pt idx="846">
                  <c:v>0.74981047682315705</c:v>
                </c:pt>
                <c:pt idx="847">
                  <c:v>0.53525846307635927</c:v>
                </c:pt>
                <c:pt idx="848">
                  <c:v>0.75499171267884968</c:v>
                </c:pt>
                <c:pt idx="849">
                  <c:v>0.60789195391008044</c:v>
                </c:pt>
                <c:pt idx="850">
                  <c:v>0.53297988037327237</c:v>
                </c:pt>
                <c:pt idx="851">
                  <c:v>0.57177035129387987</c:v>
                </c:pt>
                <c:pt idx="852">
                  <c:v>0.41755760133570519</c:v>
                </c:pt>
                <c:pt idx="853">
                  <c:v>0.55407521558649564</c:v>
                </c:pt>
                <c:pt idx="854">
                  <c:v>0.65759361024183227</c:v>
                </c:pt>
                <c:pt idx="855">
                  <c:v>0.51160467208185056</c:v>
                </c:pt>
                <c:pt idx="856">
                  <c:v>0.42177982715429541</c:v>
                </c:pt>
                <c:pt idx="857">
                  <c:v>0.64712154605188332</c:v>
                </c:pt>
                <c:pt idx="858">
                  <c:v>0.85520800208141146</c:v>
                </c:pt>
                <c:pt idx="859">
                  <c:v>0.87607411730224571</c:v>
                </c:pt>
                <c:pt idx="860">
                  <c:v>0.66682687242615724</c:v>
                </c:pt>
                <c:pt idx="861">
                  <c:v>0.52987709227425683</c:v>
                </c:pt>
                <c:pt idx="862">
                  <c:v>0.52657601850340208</c:v>
                </c:pt>
                <c:pt idx="863">
                  <c:v>0.47164441537201141</c:v>
                </c:pt>
                <c:pt idx="864">
                  <c:v>0.61364144256726183</c:v>
                </c:pt>
                <c:pt idx="865">
                  <c:v>0.82211274113457788</c:v>
                </c:pt>
                <c:pt idx="866">
                  <c:v>0.84364278465630638</c:v>
                </c:pt>
                <c:pt idx="867">
                  <c:v>0.82362985228887431</c:v>
                </c:pt>
                <c:pt idx="868">
                  <c:v>0.61550107815827348</c:v>
                </c:pt>
                <c:pt idx="869">
                  <c:v>0.59164607314359574</c:v>
                </c:pt>
                <c:pt idx="870">
                  <c:v>0.61016118080901371</c:v>
                </c:pt>
                <c:pt idx="871">
                  <c:v>0.6836561824612537</c:v>
                </c:pt>
                <c:pt idx="872">
                  <c:v>0.93342570578222994</c:v>
                </c:pt>
                <c:pt idx="873">
                  <c:v>0.26890650485458223</c:v>
                </c:pt>
                <c:pt idx="874">
                  <c:v>0.46045563143208179</c:v>
                </c:pt>
                <c:pt idx="875">
                  <c:v>0.45765352609364607</c:v>
                </c:pt>
                <c:pt idx="876">
                  <c:v>0.74927800198014971</c:v>
                </c:pt>
                <c:pt idx="877">
                  <c:v>0.86473759878085965</c:v>
                </c:pt>
                <c:pt idx="878">
                  <c:v>0.56079328107357429</c:v>
                </c:pt>
                <c:pt idx="879">
                  <c:v>0.63045050157375893</c:v>
                </c:pt>
                <c:pt idx="880">
                  <c:v>0.66611114791033699</c:v>
                </c:pt>
                <c:pt idx="881">
                  <c:v>0.81312731344110789</c:v>
                </c:pt>
                <c:pt idx="882">
                  <c:v>0.95043523985725464</c:v>
                </c:pt>
                <c:pt idx="883">
                  <c:v>0.85618522307285705</c:v>
                </c:pt>
                <c:pt idx="884">
                  <c:v>0.90221142968302148</c:v>
                </c:pt>
                <c:pt idx="885">
                  <c:v>0.45019565020880403</c:v>
                </c:pt>
                <c:pt idx="886">
                  <c:v>0.59185971303235951</c:v>
                </c:pt>
                <c:pt idx="887">
                  <c:v>0.42628557553987045</c:v>
                </c:pt>
                <c:pt idx="888">
                  <c:v>0.74241670878048605</c:v>
                </c:pt>
                <c:pt idx="889">
                  <c:v>0.96376899879555977</c:v>
                </c:pt>
                <c:pt idx="890">
                  <c:v>0.71202422510527796</c:v>
                </c:pt>
                <c:pt idx="891">
                  <c:v>0.89347046943910668</c:v>
                </c:pt>
                <c:pt idx="892">
                  <c:v>1.4108198740341114</c:v>
                </c:pt>
                <c:pt idx="893">
                  <c:v>0.6990509196055168</c:v>
                </c:pt>
                <c:pt idx="894">
                  <c:v>0.94915671509783417</c:v>
                </c:pt>
                <c:pt idx="895">
                  <c:v>0.68374642719564527</c:v>
                </c:pt>
                <c:pt idx="896">
                  <c:v>0.69156319357012763</c:v>
                </c:pt>
                <c:pt idx="897">
                  <c:v>0.98368956463547752</c:v>
                </c:pt>
                <c:pt idx="898">
                  <c:v>1.0550149030952041</c:v>
                </c:pt>
                <c:pt idx="899">
                  <c:v>0.57074761867174484</c:v>
                </c:pt>
                <c:pt idx="900">
                  <c:v>0.55417463379347676</c:v>
                </c:pt>
                <c:pt idx="901">
                  <c:v>0.51935925717819953</c:v>
                </c:pt>
                <c:pt idx="902">
                  <c:v>0.62632929845412333</c:v>
                </c:pt>
                <c:pt idx="903">
                  <c:v>0.55122863366180153</c:v>
                </c:pt>
                <c:pt idx="904">
                  <c:v>0.34638494171250267</c:v>
                </c:pt>
                <c:pt idx="905">
                  <c:v>0.44848480989449135</c:v>
                </c:pt>
                <c:pt idx="906">
                  <c:v>0.54585049903735849</c:v>
                </c:pt>
                <c:pt idx="907">
                  <c:v>0.67295168109608783</c:v>
                </c:pt>
                <c:pt idx="908">
                  <c:v>0.52086196811283525</c:v>
                </c:pt>
                <c:pt idx="909">
                  <c:v>0.88552077268452734</c:v>
                </c:pt>
                <c:pt idx="910">
                  <c:v>0.46944413116022443</c:v>
                </c:pt>
                <c:pt idx="911">
                  <c:v>0.7028081840378726</c:v>
                </c:pt>
                <c:pt idx="912">
                  <c:v>0.47728657411207132</c:v>
                </c:pt>
                <c:pt idx="913">
                  <c:v>0.47797283459882123</c:v>
                </c:pt>
                <c:pt idx="914">
                  <c:v>0.49062227195076846</c:v>
                </c:pt>
                <c:pt idx="915">
                  <c:v>0.73090700674754516</c:v>
                </c:pt>
                <c:pt idx="916">
                  <c:v>0.5558472844275486</c:v>
                </c:pt>
                <c:pt idx="917">
                  <c:v>0.92472233468077847</c:v>
                </c:pt>
                <c:pt idx="918">
                  <c:v>0.81877772657622683</c:v>
                </c:pt>
                <c:pt idx="919">
                  <c:v>0.58819060027622583</c:v>
                </c:pt>
                <c:pt idx="920">
                  <c:v>0.77146307149465398</c:v>
                </c:pt>
                <c:pt idx="921">
                  <c:v>0.53259973310783759</c:v>
                </c:pt>
                <c:pt idx="922">
                  <c:v>0.63944907730815248</c:v>
                </c:pt>
                <c:pt idx="923">
                  <c:v>0.6490390058345632</c:v>
                </c:pt>
                <c:pt idx="924">
                  <c:v>0.43981115053419417</c:v>
                </c:pt>
                <c:pt idx="925">
                  <c:v>0.80990136306047078</c:v>
                </c:pt>
                <c:pt idx="926">
                  <c:v>0.35459635387083566</c:v>
                </c:pt>
                <c:pt idx="927">
                  <c:v>0.74398549325939545</c:v>
                </c:pt>
                <c:pt idx="928">
                  <c:v>0.63477885101109721</c:v>
                </c:pt>
                <c:pt idx="929">
                  <c:v>0.85223663652247983</c:v>
                </c:pt>
                <c:pt idx="930">
                  <c:v>0.84218723559965381</c:v>
                </c:pt>
                <c:pt idx="931">
                  <c:v>0.52793708210440937</c:v>
                </c:pt>
                <c:pt idx="932">
                  <c:v>0.85424858716500118</c:v>
                </c:pt>
                <c:pt idx="933">
                  <c:v>0.56714780007612875</c:v>
                </c:pt>
                <c:pt idx="934">
                  <c:v>0.34923424829303706</c:v>
                </c:pt>
                <c:pt idx="935">
                  <c:v>0.62273037579161694</c:v>
                </c:pt>
                <c:pt idx="936">
                  <c:v>6.9684733293548407E-2</c:v>
                </c:pt>
                <c:pt idx="937">
                  <c:v>0.78534291264294653</c:v>
                </c:pt>
                <c:pt idx="938">
                  <c:v>0.46581117907573688</c:v>
                </c:pt>
                <c:pt idx="939">
                  <c:v>0.18902837137019568</c:v>
                </c:pt>
                <c:pt idx="940">
                  <c:v>0.80514754527002119</c:v>
                </c:pt>
                <c:pt idx="941">
                  <c:v>0.63794375631124556</c:v>
                </c:pt>
                <c:pt idx="942">
                  <c:v>0.65053442836197228</c:v>
                </c:pt>
                <c:pt idx="943">
                  <c:v>0.82503040430122709</c:v>
                </c:pt>
                <c:pt idx="944">
                  <c:v>0.9170134564955339</c:v>
                </c:pt>
                <c:pt idx="945">
                  <c:v>0.45046594310724797</c:v>
                </c:pt>
                <c:pt idx="946">
                  <c:v>0.53032944772784907</c:v>
                </c:pt>
                <c:pt idx="947">
                  <c:v>0.33858095554902135</c:v>
                </c:pt>
                <c:pt idx="948">
                  <c:v>0.88656679132265626</c:v>
                </c:pt>
                <c:pt idx="949">
                  <c:v>0.19103084739827114</c:v>
                </c:pt>
                <c:pt idx="950">
                  <c:v>0.83601142447248122</c:v>
                </c:pt>
                <c:pt idx="951">
                  <c:v>0.70784479410721457</c:v>
                </c:pt>
                <c:pt idx="952">
                  <c:v>0.81642607633632602</c:v>
                </c:pt>
                <c:pt idx="953">
                  <c:v>0.75752802180897727</c:v>
                </c:pt>
                <c:pt idx="954">
                  <c:v>0.68679611427869913</c:v>
                </c:pt>
                <c:pt idx="955">
                  <c:v>0.71748442825620806</c:v>
                </c:pt>
                <c:pt idx="956">
                  <c:v>0.99344324188629352</c:v>
                </c:pt>
                <c:pt idx="957">
                  <c:v>0.44543008747970947</c:v>
                </c:pt>
                <c:pt idx="958">
                  <c:v>0.36064189365944266</c:v>
                </c:pt>
                <c:pt idx="959">
                  <c:v>0.72654551264073164</c:v>
                </c:pt>
                <c:pt idx="960">
                  <c:v>0.37198818251497245</c:v>
                </c:pt>
                <c:pt idx="961">
                  <c:v>0.50982889229237638</c:v>
                </c:pt>
                <c:pt idx="962">
                  <c:v>0.58042279017197362</c:v>
                </c:pt>
                <c:pt idx="963">
                  <c:v>0.54958928344283642</c:v>
                </c:pt>
                <c:pt idx="964">
                  <c:v>0.78222093742846832</c:v>
                </c:pt>
                <c:pt idx="965">
                  <c:v>0.47790684720709153</c:v>
                </c:pt>
                <c:pt idx="966">
                  <c:v>0.68032776716915921</c:v>
                </c:pt>
                <c:pt idx="967">
                  <c:v>0.66331786189960518</c:v>
                </c:pt>
                <c:pt idx="968">
                  <c:v>0.51438006132456415</c:v>
                </c:pt>
                <c:pt idx="969">
                  <c:v>0.66589715734111232</c:v>
                </c:pt>
                <c:pt idx="970">
                  <c:v>0.5072489756741696</c:v>
                </c:pt>
                <c:pt idx="971">
                  <c:v>0.78415124558098936</c:v>
                </c:pt>
                <c:pt idx="972">
                  <c:v>0.61082192066684859</c:v>
                </c:pt>
                <c:pt idx="973">
                  <c:v>0.80319059684721661</c:v>
                </c:pt>
                <c:pt idx="974">
                  <c:v>0.67729346934340584</c:v>
                </c:pt>
                <c:pt idx="975">
                  <c:v>0.422750276271739</c:v>
                </c:pt>
                <c:pt idx="976">
                  <c:v>0.77723201854817692</c:v>
                </c:pt>
                <c:pt idx="977">
                  <c:v>0.64697925537222423</c:v>
                </c:pt>
                <c:pt idx="978">
                  <c:v>0.60386463199845841</c:v>
                </c:pt>
                <c:pt idx="979">
                  <c:v>1.3067549911125353</c:v>
                </c:pt>
                <c:pt idx="980">
                  <c:v>0.6027317025542458</c:v>
                </c:pt>
                <c:pt idx="981">
                  <c:v>0.38657396225227947</c:v>
                </c:pt>
                <c:pt idx="982">
                  <c:v>0.57539742980977748</c:v>
                </c:pt>
                <c:pt idx="983">
                  <c:v>0.71077780571100235</c:v>
                </c:pt>
                <c:pt idx="984">
                  <c:v>0.55666379935417032</c:v>
                </c:pt>
                <c:pt idx="985">
                  <c:v>0.51630069165190617</c:v>
                </c:pt>
                <c:pt idx="986">
                  <c:v>0.36799758661212567</c:v>
                </c:pt>
                <c:pt idx="987">
                  <c:v>0.83243282244041894</c:v>
                </c:pt>
                <c:pt idx="988">
                  <c:v>0.4761714783657065</c:v>
                </c:pt>
                <c:pt idx="989">
                  <c:v>0.67991159567215442</c:v>
                </c:pt>
                <c:pt idx="990">
                  <c:v>0.7436873287341168</c:v>
                </c:pt>
                <c:pt idx="991">
                  <c:v>0.93353110322984789</c:v>
                </c:pt>
                <c:pt idx="992">
                  <c:v>0.78388278121612553</c:v>
                </c:pt>
                <c:pt idx="993">
                  <c:v>0.48461157418527856</c:v>
                </c:pt>
                <c:pt idx="994">
                  <c:v>0.54177105875243181</c:v>
                </c:pt>
                <c:pt idx="995">
                  <c:v>0.73426211250571094</c:v>
                </c:pt>
                <c:pt idx="996">
                  <c:v>0.26225393594018032</c:v>
                </c:pt>
                <c:pt idx="997">
                  <c:v>0.79022496921306984</c:v>
                </c:pt>
                <c:pt idx="998">
                  <c:v>0.37748737287873202</c:v>
                </c:pt>
                <c:pt idx="999">
                  <c:v>0.67058137321629219</c:v>
                </c:pt>
                <c:pt idx="1000">
                  <c:v>0.75259057903984572</c:v>
                </c:pt>
              </c:numCache>
            </c:numRef>
          </c:xVal>
          <c:yVal>
            <c:numRef>
              <c:f>PSA_Dashboard!$B$2:$B$1002</c:f>
              <c:numCache>
                <c:formatCode>General</c:formatCode>
                <c:ptCount val="1001"/>
                <c:pt idx="0">
                  <c:v>32110.45637198694</c:v>
                </c:pt>
                <c:pt idx="1">
                  <c:v>26010.405988175946</c:v>
                </c:pt>
                <c:pt idx="2">
                  <c:v>43703.060925689999</c:v>
                </c:pt>
                <c:pt idx="3">
                  <c:v>30306.469284728213</c:v>
                </c:pt>
                <c:pt idx="4">
                  <c:v>46723.6807703995</c:v>
                </c:pt>
                <c:pt idx="5">
                  <c:v>25828.547092303139</c:v>
                </c:pt>
                <c:pt idx="6">
                  <c:v>37826.52260740874</c:v>
                </c:pt>
                <c:pt idx="7">
                  <c:v>27013.086075981999</c:v>
                </c:pt>
                <c:pt idx="8">
                  <c:v>31543.571335309425</c:v>
                </c:pt>
                <c:pt idx="9">
                  <c:v>45916.71017627215</c:v>
                </c:pt>
                <c:pt idx="10">
                  <c:v>29247.902788109895</c:v>
                </c:pt>
                <c:pt idx="11">
                  <c:v>20698.447806006487</c:v>
                </c:pt>
                <c:pt idx="12">
                  <c:v>29667.093469831838</c:v>
                </c:pt>
                <c:pt idx="13">
                  <c:v>33179.344119911148</c:v>
                </c:pt>
                <c:pt idx="14">
                  <c:v>47888.218004434159</c:v>
                </c:pt>
                <c:pt idx="15">
                  <c:v>36183.479116749186</c:v>
                </c:pt>
                <c:pt idx="16">
                  <c:v>34387.946491221053</c:v>
                </c:pt>
                <c:pt idx="17">
                  <c:v>40638.347552805935</c:v>
                </c:pt>
                <c:pt idx="18">
                  <c:v>23897.689712206833</c:v>
                </c:pt>
                <c:pt idx="19">
                  <c:v>28157.725968866645</c:v>
                </c:pt>
                <c:pt idx="20">
                  <c:v>21655.458676948656</c:v>
                </c:pt>
                <c:pt idx="21">
                  <c:v>41372.199237134882</c:v>
                </c:pt>
                <c:pt idx="22">
                  <c:v>32071.181342182332</c:v>
                </c:pt>
                <c:pt idx="23">
                  <c:v>26411.86920213695</c:v>
                </c:pt>
                <c:pt idx="24">
                  <c:v>28237.208099579737</c:v>
                </c:pt>
                <c:pt idx="25">
                  <c:v>26378.326076660043</c:v>
                </c:pt>
                <c:pt idx="26">
                  <c:v>22310.738092183805</c:v>
                </c:pt>
                <c:pt idx="27">
                  <c:v>25906.182849075325</c:v>
                </c:pt>
                <c:pt idx="28">
                  <c:v>39293.935630852196</c:v>
                </c:pt>
                <c:pt idx="29">
                  <c:v>20242.27315270478</c:v>
                </c:pt>
                <c:pt idx="30">
                  <c:v>37516.389157583944</c:v>
                </c:pt>
                <c:pt idx="31">
                  <c:v>33184.83147957598</c:v>
                </c:pt>
                <c:pt idx="32">
                  <c:v>30041.918743961964</c:v>
                </c:pt>
                <c:pt idx="33">
                  <c:v>50702.186667239133</c:v>
                </c:pt>
                <c:pt idx="34">
                  <c:v>17081.581649848958</c:v>
                </c:pt>
                <c:pt idx="35">
                  <c:v>46786.813936883562</c:v>
                </c:pt>
                <c:pt idx="36">
                  <c:v>31136.437983300028</c:v>
                </c:pt>
                <c:pt idx="37">
                  <c:v>29566.761119984658</c:v>
                </c:pt>
                <c:pt idx="38">
                  <c:v>30861.681421189212</c:v>
                </c:pt>
                <c:pt idx="39">
                  <c:v>42120.978525564176</c:v>
                </c:pt>
                <c:pt idx="40">
                  <c:v>25736.197713019683</c:v>
                </c:pt>
                <c:pt idx="41">
                  <c:v>28146.920287753834</c:v>
                </c:pt>
                <c:pt idx="42">
                  <c:v>29387.828175556053</c:v>
                </c:pt>
                <c:pt idx="43">
                  <c:v>27111.55357106834</c:v>
                </c:pt>
                <c:pt idx="44">
                  <c:v>53472.247026773599</c:v>
                </c:pt>
                <c:pt idx="45">
                  <c:v>34227.849834868575</c:v>
                </c:pt>
                <c:pt idx="46">
                  <c:v>42499.066464053089</c:v>
                </c:pt>
                <c:pt idx="47">
                  <c:v>33102.490316486452</c:v>
                </c:pt>
                <c:pt idx="48">
                  <c:v>44684.25602614777</c:v>
                </c:pt>
                <c:pt idx="49">
                  <c:v>33185.813458929646</c:v>
                </c:pt>
                <c:pt idx="50">
                  <c:v>39009.401752192804</c:v>
                </c:pt>
                <c:pt idx="51">
                  <c:v>40415.388237383268</c:v>
                </c:pt>
                <c:pt idx="52">
                  <c:v>21374.439772497069</c:v>
                </c:pt>
                <c:pt idx="53">
                  <c:v>35289.47563505813</c:v>
                </c:pt>
                <c:pt idx="54">
                  <c:v>30639.15645750019</c:v>
                </c:pt>
                <c:pt idx="55">
                  <c:v>24384.565903576426</c:v>
                </c:pt>
                <c:pt idx="56">
                  <c:v>44707.56338114672</c:v>
                </c:pt>
                <c:pt idx="57">
                  <c:v>23010.482294819449</c:v>
                </c:pt>
                <c:pt idx="58">
                  <c:v>19639.829939615127</c:v>
                </c:pt>
                <c:pt idx="59">
                  <c:v>52394.098412892032</c:v>
                </c:pt>
                <c:pt idx="60">
                  <c:v>24850.17102115642</c:v>
                </c:pt>
                <c:pt idx="61">
                  <c:v>31681.720100445382</c:v>
                </c:pt>
                <c:pt idx="62">
                  <c:v>42147.796934641032</c:v>
                </c:pt>
                <c:pt idx="63">
                  <c:v>18793.694891219748</c:v>
                </c:pt>
                <c:pt idx="64">
                  <c:v>37603.367601881269</c:v>
                </c:pt>
                <c:pt idx="65">
                  <c:v>31750.965803026389</c:v>
                </c:pt>
                <c:pt idx="66">
                  <c:v>33123.966499520298</c:v>
                </c:pt>
                <c:pt idx="67">
                  <c:v>24032.887508537235</c:v>
                </c:pt>
                <c:pt idx="68">
                  <c:v>25557.462538867228</c:v>
                </c:pt>
                <c:pt idx="69">
                  <c:v>40741.652387147798</c:v>
                </c:pt>
                <c:pt idx="70">
                  <c:v>54497.613424699928</c:v>
                </c:pt>
                <c:pt idx="71">
                  <c:v>35245.819173562842</c:v>
                </c:pt>
                <c:pt idx="72">
                  <c:v>41286.360202305244</c:v>
                </c:pt>
                <c:pt idx="73">
                  <c:v>30260.017669769491</c:v>
                </c:pt>
                <c:pt idx="74">
                  <c:v>19976.027949049691</c:v>
                </c:pt>
                <c:pt idx="75">
                  <c:v>39738.280207887692</c:v>
                </c:pt>
                <c:pt idx="76">
                  <c:v>20632.153789326483</c:v>
                </c:pt>
                <c:pt idx="77">
                  <c:v>26182.878726104267</c:v>
                </c:pt>
                <c:pt idx="78">
                  <c:v>44108.0134841041</c:v>
                </c:pt>
                <c:pt idx="79">
                  <c:v>32494.726035101987</c:v>
                </c:pt>
                <c:pt idx="80">
                  <c:v>36842.225737294677</c:v>
                </c:pt>
                <c:pt idx="81">
                  <c:v>40955.532887702109</c:v>
                </c:pt>
                <c:pt idx="82">
                  <c:v>43756.810985876786</c:v>
                </c:pt>
                <c:pt idx="83">
                  <c:v>58861.076050611708</c:v>
                </c:pt>
                <c:pt idx="84">
                  <c:v>42434.366461925099</c:v>
                </c:pt>
                <c:pt idx="85">
                  <c:v>39474.390447986312</c:v>
                </c:pt>
                <c:pt idx="86">
                  <c:v>25329.483625863599</c:v>
                </c:pt>
                <c:pt idx="87">
                  <c:v>41735.224447707093</c:v>
                </c:pt>
                <c:pt idx="88">
                  <c:v>29702.63866698982</c:v>
                </c:pt>
                <c:pt idx="89">
                  <c:v>43418.436770703891</c:v>
                </c:pt>
                <c:pt idx="90">
                  <c:v>33076.817984532652</c:v>
                </c:pt>
                <c:pt idx="91">
                  <c:v>30095.649790217576</c:v>
                </c:pt>
                <c:pt idx="92">
                  <c:v>37481.44487735274</c:v>
                </c:pt>
                <c:pt idx="93">
                  <c:v>49105.530490763143</c:v>
                </c:pt>
                <c:pt idx="94">
                  <c:v>37791.391954437087</c:v>
                </c:pt>
                <c:pt idx="95">
                  <c:v>46661.526533096447</c:v>
                </c:pt>
                <c:pt idx="96">
                  <c:v>46742.748223789371</c:v>
                </c:pt>
                <c:pt idx="97">
                  <c:v>35280.51288503228</c:v>
                </c:pt>
                <c:pt idx="98">
                  <c:v>28566.049877443569</c:v>
                </c:pt>
                <c:pt idx="99">
                  <c:v>41862.869904403778</c:v>
                </c:pt>
                <c:pt idx="100">
                  <c:v>31374.886754424821</c:v>
                </c:pt>
                <c:pt idx="101">
                  <c:v>43726.496172072439</c:v>
                </c:pt>
                <c:pt idx="102">
                  <c:v>35656.993911098383</c:v>
                </c:pt>
                <c:pt idx="103">
                  <c:v>30107.224088245166</c:v>
                </c:pt>
                <c:pt idx="104">
                  <c:v>45039.884695252389</c:v>
                </c:pt>
                <c:pt idx="105">
                  <c:v>54094.887359838271</c:v>
                </c:pt>
                <c:pt idx="106">
                  <c:v>26992.595249649181</c:v>
                </c:pt>
                <c:pt idx="107">
                  <c:v>23245.568662562313</c:v>
                </c:pt>
                <c:pt idx="108">
                  <c:v>42621.803638172751</c:v>
                </c:pt>
                <c:pt idx="109">
                  <c:v>32456.708496269239</c:v>
                </c:pt>
                <c:pt idx="110">
                  <c:v>37719.3151976472</c:v>
                </c:pt>
                <c:pt idx="111">
                  <c:v>38064.993577893278</c:v>
                </c:pt>
                <c:pt idx="112">
                  <c:v>33366.165691051916</c:v>
                </c:pt>
                <c:pt idx="113">
                  <c:v>38808.423701508043</c:v>
                </c:pt>
                <c:pt idx="114">
                  <c:v>48499.041939794733</c:v>
                </c:pt>
                <c:pt idx="115">
                  <c:v>25710.84017973984</c:v>
                </c:pt>
                <c:pt idx="116">
                  <c:v>29499.914938737435</c:v>
                </c:pt>
                <c:pt idx="117">
                  <c:v>29170.420135593602</c:v>
                </c:pt>
                <c:pt idx="118">
                  <c:v>50227.668311014517</c:v>
                </c:pt>
                <c:pt idx="119">
                  <c:v>35936.748852610188</c:v>
                </c:pt>
                <c:pt idx="120">
                  <c:v>25766.559879754066</c:v>
                </c:pt>
                <c:pt idx="121">
                  <c:v>39303.407356352065</c:v>
                </c:pt>
                <c:pt idx="122">
                  <c:v>17555.388710023995</c:v>
                </c:pt>
                <c:pt idx="123">
                  <c:v>38496.420274730073</c:v>
                </c:pt>
                <c:pt idx="124">
                  <c:v>58295.995863988166</c:v>
                </c:pt>
                <c:pt idx="125">
                  <c:v>28504.591600642758</c:v>
                </c:pt>
                <c:pt idx="126">
                  <c:v>40927.042480931923</c:v>
                </c:pt>
                <c:pt idx="127">
                  <c:v>31308.552698012318</c:v>
                </c:pt>
                <c:pt idx="128">
                  <c:v>45488.785315528228</c:v>
                </c:pt>
                <c:pt idx="129">
                  <c:v>36664.65279967372</c:v>
                </c:pt>
                <c:pt idx="130">
                  <c:v>25155.47684061683</c:v>
                </c:pt>
                <c:pt idx="131">
                  <c:v>44271.928398730568</c:v>
                </c:pt>
                <c:pt idx="132">
                  <c:v>47687.934451434732</c:v>
                </c:pt>
                <c:pt idx="133">
                  <c:v>34215.308973573505</c:v>
                </c:pt>
                <c:pt idx="134">
                  <c:v>40324.72367843485</c:v>
                </c:pt>
                <c:pt idx="135">
                  <c:v>61516.305189932216</c:v>
                </c:pt>
                <c:pt idx="136">
                  <c:v>63689.283353515282</c:v>
                </c:pt>
                <c:pt idx="137">
                  <c:v>50364.502457296476</c:v>
                </c:pt>
                <c:pt idx="138">
                  <c:v>27376.981032975949</c:v>
                </c:pt>
                <c:pt idx="139">
                  <c:v>32706.777400957268</c:v>
                </c:pt>
                <c:pt idx="140">
                  <c:v>34015.597164674786</c:v>
                </c:pt>
                <c:pt idx="141">
                  <c:v>30811.739507067112</c:v>
                </c:pt>
                <c:pt idx="142">
                  <c:v>16816.073277275791</c:v>
                </c:pt>
                <c:pt idx="143">
                  <c:v>38876.762547901984</c:v>
                </c:pt>
                <c:pt idx="144">
                  <c:v>21091.836644987918</c:v>
                </c:pt>
                <c:pt idx="145">
                  <c:v>45638.273548659505</c:v>
                </c:pt>
                <c:pt idx="146">
                  <c:v>31921.6139320847</c:v>
                </c:pt>
                <c:pt idx="147">
                  <c:v>30793.656419392304</c:v>
                </c:pt>
                <c:pt idx="148">
                  <c:v>23525.059729437206</c:v>
                </c:pt>
                <c:pt idx="149">
                  <c:v>37268.93529511863</c:v>
                </c:pt>
                <c:pt idx="150">
                  <c:v>38911.244604873413</c:v>
                </c:pt>
                <c:pt idx="151">
                  <c:v>45848.680989341672</c:v>
                </c:pt>
                <c:pt idx="152">
                  <c:v>38063.848828255897</c:v>
                </c:pt>
                <c:pt idx="153">
                  <c:v>38518.591452220164</c:v>
                </c:pt>
                <c:pt idx="154">
                  <c:v>36553.767872947028</c:v>
                </c:pt>
                <c:pt idx="155">
                  <c:v>29015.73238761472</c:v>
                </c:pt>
                <c:pt idx="156">
                  <c:v>36708.922181193135</c:v>
                </c:pt>
                <c:pt idx="157">
                  <c:v>41370.000894243014</c:v>
                </c:pt>
                <c:pt idx="158">
                  <c:v>31529.077031768</c:v>
                </c:pt>
                <c:pt idx="159">
                  <c:v>21070.753327316095</c:v>
                </c:pt>
                <c:pt idx="160">
                  <c:v>25409.511788042953</c:v>
                </c:pt>
                <c:pt idx="161">
                  <c:v>36306.778148428872</c:v>
                </c:pt>
                <c:pt idx="162">
                  <c:v>53206.596021325415</c:v>
                </c:pt>
                <c:pt idx="163">
                  <c:v>28426.970322388312</c:v>
                </c:pt>
                <c:pt idx="164">
                  <c:v>36624.757485353759</c:v>
                </c:pt>
                <c:pt idx="165">
                  <c:v>28199.02525783833</c:v>
                </c:pt>
                <c:pt idx="166">
                  <c:v>33165.343592888756</c:v>
                </c:pt>
                <c:pt idx="167">
                  <c:v>40228.474168820969</c:v>
                </c:pt>
                <c:pt idx="168">
                  <c:v>50036.595791935775</c:v>
                </c:pt>
                <c:pt idx="169">
                  <c:v>23561.597506295839</c:v>
                </c:pt>
                <c:pt idx="170">
                  <c:v>27294.720312342048</c:v>
                </c:pt>
                <c:pt idx="171">
                  <c:v>39226.416500437728</c:v>
                </c:pt>
                <c:pt idx="172">
                  <c:v>48620.811212248562</c:v>
                </c:pt>
                <c:pt idx="173">
                  <c:v>23222.384811039905</c:v>
                </c:pt>
                <c:pt idx="174">
                  <c:v>30851.345226092002</c:v>
                </c:pt>
                <c:pt idx="175">
                  <c:v>24433.786418134594</c:v>
                </c:pt>
                <c:pt idx="176">
                  <c:v>33961.403679647003</c:v>
                </c:pt>
                <c:pt idx="177">
                  <c:v>39332.713583150689</c:v>
                </c:pt>
                <c:pt idx="178">
                  <c:v>26247.238414011117</c:v>
                </c:pt>
                <c:pt idx="179">
                  <c:v>44586.724310759913</c:v>
                </c:pt>
                <c:pt idx="180">
                  <c:v>34364.415508162441</c:v>
                </c:pt>
                <c:pt idx="181">
                  <c:v>37667.667533256557</c:v>
                </c:pt>
                <c:pt idx="182">
                  <c:v>32079.775886499141</c:v>
                </c:pt>
                <c:pt idx="183">
                  <c:v>29808.674655445415</c:v>
                </c:pt>
                <c:pt idx="184">
                  <c:v>34481.713001429154</c:v>
                </c:pt>
                <c:pt idx="185">
                  <c:v>41906.308341320255</c:v>
                </c:pt>
                <c:pt idx="186">
                  <c:v>32236.924787690499</c:v>
                </c:pt>
                <c:pt idx="187">
                  <c:v>41652.902886554657</c:v>
                </c:pt>
                <c:pt idx="188">
                  <c:v>39054.240096498033</c:v>
                </c:pt>
                <c:pt idx="189">
                  <c:v>29703.201510152248</c:v>
                </c:pt>
                <c:pt idx="190">
                  <c:v>20707.5284475476</c:v>
                </c:pt>
                <c:pt idx="191">
                  <c:v>39123.979097129522</c:v>
                </c:pt>
                <c:pt idx="192">
                  <c:v>42888.916871370981</c:v>
                </c:pt>
                <c:pt idx="193">
                  <c:v>32047.832484609011</c:v>
                </c:pt>
                <c:pt idx="194">
                  <c:v>32376.93040111383</c:v>
                </c:pt>
                <c:pt idx="195">
                  <c:v>13963.788517549365</c:v>
                </c:pt>
                <c:pt idx="196">
                  <c:v>35030.258164333063</c:v>
                </c:pt>
                <c:pt idx="197">
                  <c:v>32815.010826680133</c:v>
                </c:pt>
                <c:pt idx="198">
                  <c:v>52255.440756402226</c:v>
                </c:pt>
                <c:pt idx="199">
                  <c:v>32469.266926188269</c:v>
                </c:pt>
                <c:pt idx="200">
                  <c:v>45718.165541562594</c:v>
                </c:pt>
                <c:pt idx="201">
                  <c:v>40591.892831548626</c:v>
                </c:pt>
                <c:pt idx="202">
                  <c:v>47158.211926934178</c:v>
                </c:pt>
                <c:pt idx="203">
                  <c:v>38810.622224955274</c:v>
                </c:pt>
                <c:pt idx="204">
                  <c:v>33819.645017704031</c:v>
                </c:pt>
                <c:pt idx="205">
                  <c:v>34066.335269856645</c:v>
                </c:pt>
                <c:pt idx="206">
                  <c:v>35687.470895044571</c:v>
                </c:pt>
                <c:pt idx="207">
                  <c:v>35658.260182754799</c:v>
                </c:pt>
                <c:pt idx="208">
                  <c:v>39813.427708513373</c:v>
                </c:pt>
                <c:pt idx="209">
                  <c:v>43051.177451758223</c:v>
                </c:pt>
                <c:pt idx="210">
                  <c:v>49583.592725126844</c:v>
                </c:pt>
                <c:pt idx="211">
                  <c:v>36851.284771747225</c:v>
                </c:pt>
                <c:pt idx="212">
                  <c:v>27238.254486527927</c:v>
                </c:pt>
                <c:pt idx="213">
                  <c:v>36566.807467261744</c:v>
                </c:pt>
                <c:pt idx="214">
                  <c:v>36901.350256867569</c:v>
                </c:pt>
                <c:pt idx="215">
                  <c:v>24890.271271054218</c:v>
                </c:pt>
                <c:pt idx="216">
                  <c:v>35742.002950488735</c:v>
                </c:pt>
                <c:pt idx="217">
                  <c:v>46602.199141380202</c:v>
                </c:pt>
                <c:pt idx="218">
                  <c:v>21841.711398299172</c:v>
                </c:pt>
                <c:pt idx="219">
                  <c:v>37994.76445386769</c:v>
                </c:pt>
                <c:pt idx="220">
                  <c:v>28268.747269049592</c:v>
                </c:pt>
                <c:pt idx="221">
                  <c:v>36411.549582847831</c:v>
                </c:pt>
                <c:pt idx="222">
                  <c:v>32382.473431673257</c:v>
                </c:pt>
                <c:pt idx="223">
                  <c:v>46675.005559841484</c:v>
                </c:pt>
                <c:pt idx="224">
                  <c:v>32315.460756299173</c:v>
                </c:pt>
                <c:pt idx="225">
                  <c:v>49005.249881034273</c:v>
                </c:pt>
                <c:pt idx="226">
                  <c:v>34065.986599237753</c:v>
                </c:pt>
                <c:pt idx="227">
                  <c:v>33302.950025173821</c:v>
                </c:pt>
                <c:pt idx="228">
                  <c:v>41564.245471775997</c:v>
                </c:pt>
                <c:pt idx="229">
                  <c:v>38281.99450574279</c:v>
                </c:pt>
                <c:pt idx="230">
                  <c:v>27639.168822514737</c:v>
                </c:pt>
                <c:pt idx="231">
                  <c:v>20558.811276116823</c:v>
                </c:pt>
                <c:pt idx="232">
                  <c:v>34327.577140744281</c:v>
                </c:pt>
                <c:pt idx="233">
                  <c:v>48430.850028388559</c:v>
                </c:pt>
                <c:pt idx="234">
                  <c:v>25766.881331604643</c:v>
                </c:pt>
                <c:pt idx="235">
                  <c:v>31709.233104526065</c:v>
                </c:pt>
                <c:pt idx="236">
                  <c:v>54450.282290090152</c:v>
                </c:pt>
                <c:pt idx="237">
                  <c:v>24140.994568691785</c:v>
                </c:pt>
                <c:pt idx="238">
                  <c:v>37023.718850852958</c:v>
                </c:pt>
                <c:pt idx="239">
                  <c:v>17165.38961422092</c:v>
                </c:pt>
                <c:pt idx="240">
                  <c:v>29306.769303680885</c:v>
                </c:pt>
                <c:pt idx="241">
                  <c:v>25981.593181681958</c:v>
                </c:pt>
                <c:pt idx="242">
                  <c:v>46612.669685297064</c:v>
                </c:pt>
                <c:pt idx="243">
                  <c:v>24850.051215546329</c:v>
                </c:pt>
                <c:pt idx="244">
                  <c:v>25927.343699943376</c:v>
                </c:pt>
                <c:pt idx="245">
                  <c:v>25454.446822102036</c:v>
                </c:pt>
                <c:pt idx="246">
                  <c:v>31535.481053715281</c:v>
                </c:pt>
                <c:pt idx="247">
                  <c:v>21924.647342876233</c:v>
                </c:pt>
                <c:pt idx="248">
                  <c:v>45406.818714193469</c:v>
                </c:pt>
                <c:pt idx="249">
                  <c:v>42787.656939465422</c:v>
                </c:pt>
                <c:pt idx="250">
                  <c:v>40935.446342131116</c:v>
                </c:pt>
                <c:pt idx="251">
                  <c:v>20964.595394911616</c:v>
                </c:pt>
                <c:pt idx="252">
                  <c:v>27684.662835073141</c:v>
                </c:pt>
                <c:pt idx="253">
                  <c:v>29324.094193355399</c:v>
                </c:pt>
                <c:pt idx="254">
                  <c:v>33219.722450708097</c:v>
                </c:pt>
                <c:pt idx="255">
                  <c:v>19517.104178252004</c:v>
                </c:pt>
                <c:pt idx="256">
                  <c:v>41813.375689141889</c:v>
                </c:pt>
                <c:pt idx="257">
                  <c:v>40223.832607075623</c:v>
                </c:pt>
                <c:pt idx="258">
                  <c:v>26856.387504354825</c:v>
                </c:pt>
                <c:pt idx="259">
                  <c:v>32603.279643411333</c:v>
                </c:pt>
                <c:pt idx="260">
                  <c:v>38005.230880933501</c:v>
                </c:pt>
                <c:pt idx="261">
                  <c:v>29949.340552917558</c:v>
                </c:pt>
                <c:pt idx="262">
                  <c:v>33896.809934422061</c:v>
                </c:pt>
                <c:pt idx="263">
                  <c:v>42220.303093259368</c:v>
                </c:pt>
                <c:pt idx="264">
                  <c:v>22409.41985361548</c:v>
                </c:pt>
                <c:pt idx="265">
                  <c:v>28674.205347620831</c:v>
                </c:pt>
                <c:pt idx="266">
                  <c:v>22066.286542990762</c:v>
                </c:pt>
                <c:pt idx="267">
                  <c:v>37950.002089739923</c:v>
                </c:pt>
                <c:pt idx="268">
                  <c:v>43923.06104564025</c:v>
                </c:pt>
                <c:pt idx="269">
                  <c:v>26790.386996637506</c:v>
                </c:pt>
                <c:pt idx="270">
                  <c:v>20513.241820474403</c:v>
                </c:pt>
                <c:pt idx="271">
                  <c:v>27008.953457856398</c:v>
                </c:pt>
                <c:pt idx="272">
                  <c:v>34556.322348564921</c:v>
                </c:pt>
                <c:pt idx="273">
                  <c:v>24936.946448940151</c:v>
                </c:pt>
                <c:pt idx="274">
                  <c:v>25362.863663330558</c:v>
                </c:pt>
                <c:pt idx="275">
                  <c:v>37750.861948462436</c:v>
                </c:pt>
                <c:pt idx="276">
                  <c:v>30152.248528411874</c:v>
                </c:pt>
                <c:pt idx="277">
                  <c:v>34416.695102301543</c:v>
                </c:pt>
                <c:pt idx="278">
                  <c:v>23261.016312747561</c:v>
                </c:pt>
                <c:pt idx="279">
                  <c:v>30559.174991217049</c:v>
                </c:pt>
                <c:pt idx="280">
                  <c:v>43274.569732972384</c:v>
                </c:pt>
                <c:pt idx="281">
                  <c:v>34913.566881870473</c:v>
                </c:pt>
                <c:pt idx="282">
                  <c:v>25017.389454054544</c:v>
                </c:pt>
                <c:pt idx="283">
                  <c:v>39033.281606812641</c:v>
                </c:pt>
                <c:pt idx="284">
                  <c:v>34013.075172111363</c:v>
                </c:pt>
                <c:pt idx="285">
                  <c:v>33410.403287267007</c:v>
                </c:pt>
                <c:pt idx="286">
                  <c:v>46061.841387250854</c:v>
                </c:pt>
                <c:pt idx="287">
                  <c:v>40434.942897565932</c:v>
                </c:pt>
                <c:pt idx="288">
                  <c:v>25767.643629000231</c:v>
                </c:pt>
                <c:pt idx="289">
                  <c:v>28909.546372348246</c:v>
                </c:pt>
                <c:pt idx="290">
                  <c:v>32833.679333142994</c:v>
                </c:pt>
                <c:pt idx="291">
                  <c:v>20839.238472480087</c:v>
                </c:pt>
                <c:pt idx="292">
                  <c:v>39010.345955964236</c:v>
                </c:pt>
                <c:pt idx="293">
                  <c:v>42338.967992097569</c:v>
                </c:pt>
                <c:pt idx="294">
                  <c:v>40939.06030071924</c:v>
                </c:pt>
                <c:pt idx="295">
                  <c:v>19175.043170606696</c:v>
                </c:pt>
                <c:pt idx="296">
                  <c:v>35253.816763088682</c:v>
                </c:pt>
                <c:pt idx="297">
                  <c:v>30826.814865970278</c:v>
                </c:pt>
                <c:pt idx="298">
                  <c:v>27187.294851037506</c:v>
                </c:pt>
                <c:pt idx="299">
                  <c:v>36792.833108479186</c:v>
                </c:pt>
                <c:pt idx="300">
                  <c:v>46618.787010966742</c:v>
                </c:pt>
                <c:pt idx="301">
                  <c:v>34625.77085881024</c:v>
                </c:pt>
                <c:pt idx="302">
                  <c:v>32976.783163036765</c:v>
                </c:pt>
                <c:pt idx="303">
                  <c:v>40554.251467591464</c:v>
                </c:pt>
                <c:pt idx="304">
                  <c:v>30599.444971393321</c:v>
                </c:pt>
                <c:pt idx="305">
                  <c:v>48835.689276292884</c:v>
                </c:pt>
                <c:pt idx="306">
                  <c:v>51694.544396858146</c:v>
                </c:pt>
                <c:pt idx="307">
                  <c:v>33011.149316674113</c:v>
                </c:pt>
                <c:pt idx="308">
                  <c:v>30171.812322816324</c:v>
                </c:pt>
                <c:pt idx="309">
                  <c:v>29072.379622000764</c:v>
                </c:pt>
                <c:pt idx="310">
                  <c:v>25849.757808894879</c:v>
                </c:pt>
                <c:pt idx="311">
                  <c:v>49192.490368577834</c:v>
                </c:pt>
                <c:pt idx="312">
                  <c:v>33790.627294077989</c:v>
                </c:pt>
                <c:pt idx="313">
                  <c:v>36993.39647668587</c:v>
                </c:pt>
                <c:pt idx="314">
                  <c:v>39134.90238573416</c:v>
                </c:pt>
                <c:pt idx="315">
                  <c:v>38869.671198967721</c:v>
                </c:pt>
                <c:pt idx="316">
                  <c:v>41908.491019963803</c:v>
                </c:pt>
                <c:pt idx="317">
                  <c:v>26368.623734774432</c:v>
                </c:pt>
                <c:pt idx="318">
                  <c:v>48367.571374149309</c:v>
                </c:pt>
                <c:pt idx="319">
                  <c:v>29573.858824092895</c:v>
                </c:pt>
                <c:pt idx="320">
                  <c:v>25980.814007753972</c:v>
                </c:pt>
                <c:pt idx="321">
                  <c:v>40356.909808754681</c:v>
                </c:pt>
                <c:pt idx="322">
                  <c:v>24488.879098408936</c:v>
                </c:pt>
                <c:pt idx="323">
                  <c:v>36462.722458709213</c:v>
                </c:pt>
                <c:pt idx="324">
                  <c:v>25351.729938940414</c:v>
                </c:pt>
                <c:pt idx="325">
                  <c:v>29353.61641631931</c:v>
                </c:pt>
                <c:pt idx="326">
                  <c:v>29821.931517339312</c:v>
                </c:pt>
                <c:pt idx="327">
                  <c:v>38924.136770884776</c:v>
                </c:pt>
                <c:pt idx="328">
                  <c:v>28077.66711072121</c:v>
                </c:pt>
                <c:pt idx="329">
                  <c:v>35959.622771721799</c:v>
                </c:pt>
                <c:pt idx="330">
                  <c:v>26850.306669050791</c:v>
                </c:pt>
                <c:pt idx="331">
                  <c:v>24945.321663614188</c:v>
                </c:pt>
                <c:pt idx="332">
                  <c:v>23415.047034737348</c:v>
                </c:pt>
                <c:pt idx="333">
                  <c:v>23151.719267041808</c:v>
                </c:pt>
                <c:pt idx="334">
                  <c:v>48984.690609460653</c:v>
                </c:pt>
                <c:pt idx="335">
                  <c:v>30419.572253967766</c:v>
                </c:pt>
                <c:pt idx="336">
                  <c:v>43304.777891592923</c:v>
                </c:pt>
                <c:pt idx="337">
                  <c:v>19193.34045993178</c:v>
                </c:pt>
                <c:pt idx="338">
                  <c:v>34587.296470802816</c:v>
                </c:pt>
                <c:pt idx="339">
                  <c:v>32694.604948947155</c:v>
                </c:pt>
                <c:pt idx="340">
                  <c:v>31362.810572681301</c:v>
                </c:pt>
                <c:pt idx="341">
                  <c:v>18933.361669164333</c:v>
                </c:pt>
                <c:pt idx="342">
                  <c:v>28493.318198412024</c:v>
                </c:pt>
                <c:pt idx="343">
                  <c:v>37212.387264417368</c:v>
                </c:pt>
                <c:pt idx="344">
                  <c:v>37514.863208274219</c:v>
                </c:pt>
                <c:pt idx="345">
                  <c:v>38440.015632743241</c:v>
                </c:pt>
                <c:pt idx="346">
                  <c:v>18547.490268977424</c:v>
                </c:pt>
                <c:pt idx="347">
                  <c:v>39777.263054703326</c:v>
                </c:pt>
                <c:pt idx="348">
                  <c:v>24471.119168403886</c:v>
                </c:pt>
                <c:pt idx="349">
                  <c:v>35004.661952918737</c:v>
                </c:pt>
                <c:pt idx="350">
                  <c:v>26601.329316355863</c:v>
                </c:pt>
                <c:pt idx="351">
                  <c:v>24928.181597552793</c:v>
                </c:pt>
                <c:pt idx="352">
                  <c:v>25445.212713943663</c:v>
                </c:pt>
                <c:pt idx="353">
                  <c:v>34400.807892504767</c:v>
                </c:pt>
                <c:pt idx="354">
                  <c:v>38475.011441021838</c:v>
                </c:pt>
                <c:pt idx="355">
                  <c:v>47145.379044252826</c:v>
                </c:pt>
                <c:pt idx="356">
                  <c:v>34702.390507394477</c:v>
                </c:pt>
                <c:pt idx="357">
                  <c:v>47072.9636507783</c:v>
                </c:pt>
                <c:pt idx="358">
                  <c:v>36532.552986776602</c:v>
                </c:pt>
                <c:pt idx="359">
                  <c:v>33473.595740120792</c:v>
                </c:pt>
                <c:pt idx="360">
                  <c:v>29721.51300961557</c:v>
                </c:pt>
                <c:pt idx="361">
                  <c:v>26878.752416582749</c:v>
                </c:pt>
                <c:pt idx="362">
                  <c:v>40774.913582860812</c:v>
                </c:pt>
                <c:pt idx="363">
                  <c:v>36305.898016337436</c:v>
                </c:pt>
                <c:pt idx="364">
                  <c:v>29250.368427959256</c:v>
                </c:pt>
                <c:pt idx="365">
                  <c:v>29079.640361671656</c:v>
                </c:pt>
                <c:pt idx="366">
                  <c:v>47538.113774504491</c:v>
                </c:pt>
                <c:pt idx="367">
                  <c:v>40354.081537633472</c:v>
                </c:pt>
                <c:pt idx="368">
                  <c:v>46188.554978084387</c:v>
                </c:pt>
                <c:pt idx="369">
                  <c:v>54428.099992048126</c:v>
                </c:pt>
                <c:pt idx="370">
                  <c:v>12481.881993865129</c:v>
                </c:pt>
                <c:pt idx="371">
                  <c:v>35035.498030684961</c:v>
                </c:pt>
                <c:pt idx="372">
                  <c:v>51849.816822581444</c:v>
                </c:pt>
                <c:pt idx="373">
                  <c:v>39205.214453807981</c:v>
                </c:pt>
                <c:pt idx="374">
                  <c:v>40586.995311359671</c:v>
                </c:pt>
                <c:pt idx="375">
                  <c:v>35331.621178833549</c:v>
                </c:pt>
                <c:pt idx="376">
                  <c:v>42543.723846854366</c:v>
                </c:pt>
                <c:pt idx="377">
                  <c:v>36070.409736689762</c:v>
                </c:pt>
                <c:pt idx="378">
                  <c:v>30911.273476731491</c:v>
                </c:pt>
                <c:pt idx="379">
                  <c:v>38953.431621727294</c:v>
                </c:pt>
                <c:pt idx="380">
                  <c:v>34690.098306355409</c:v>
                </c:pt>
                <c:pt idx="381">
                  <c:v>20822.789947505153</c:v>
                </c:pt>
                <c:pt idx="382">
                  <c:v>30739.938278256508</c:v>
                </c:pt>
                <c:pt idx="383">
                  <c:v>28328.789531311137</c:v>
                </c:pt>
                <c:pt idx="384">
                  <c:v>34891.743277491041</c:v>
                </c:pt>
                <c:pt idx="385">
                  <c:v>29310.830253539069</c:v>
                </c:pt>
                <c:pt idx="386">
                  <c:v>17699.381052388795</c:v>
                </c:pt>
                <c:pt idx="387">
                  <c:v>35735.060243884174</c:v>
                </c:pt>
                <c:pt idx="388">
                  <c:v>30709.784073762465</c:v>
                </c:pt>
                <c:pt idx="389">
                  <c:v>38276.549568690185</c:v>
                </c:pt>
                <c:pt idx="390">
                  <c:v>45129.670339564706</c:v>
                </c:pt>
                <c:pt idx="391">
                  <c:v>36637.364846649005</c:v>
                </c:pt>
                <c:pt idx="392">
                  <c:v>33214.490095637841</c:v>
                </c:pt>
                <c:pt idx="393">
                  <c:v>38327.948589189553</c:v>
                </c:pt>
                <c:pt idx="394">
                  <c:v>35422.513088629959</c:v>
                </c:pt>
                <c:pt idx="395">
                  <c:v>28378.779435583798</c:v>
                </c:pt>
                <c:pt idx="396">
                  <c:v>37082.58374064567</c:v>
                </c:pt>
                <c:pt idx="397">
                  <c:v>53589.037324108111</c:v>
                </c:pt>
                <c:pt idx="398">
                  <c:v>40040.619205863477</c:v>
                </c:pt>
                <c:pt idx="399">
                  <c:v>43179.862272946644</c:v>
                </c:pt>
                <c:pt idx="400">
                  <c:v>37897.556152945181</c:v>
                </c:pt>
                <c:pt idx="401">
                  <c:v>34807.42383145864</c:v>
                </c:pt>
                <c:pt idx="402">
                  <c:v>28909.2849803114</c:v>
                </c:pt>
                <c:pt idx="403">
                  <c:v>39204.31348232169</c:v>
                </c:pt>
                <c:pt idx="404">
                  <c:v>40252.782552875717</c:v>
                </c:pt>
                <c:pt idx="405">
                  <c:v>41747.909917279219</c:v>
                </c:pt>
                <c:pt idx="406">
                  <c:v>23483.760584268472</c:v>
                </c:pt>
                <c:pt idx="407">
                  <c:v>42376.313027870528</c:v>
                </c:pt>
                <c:pt idx="408">
                  <c:v>42894.259046003273</c:v>
                </c:pt>
                <c:pt idx="409">
                  <c:v>30397.113296926866</c:v>
                </c:pt>
                <c:pt idx="410">
                  <c:v>40090.251219879334</c:v>
                </c:pt>
                <c:pt idx="411">
                  <c:v>38559.970870112229</c:v>
                </c:pt>
                <c:pt idx="412">
                  <c:v>33973.224088560783</c:v>
                </c:pt>
                <c:pt idx="413">
                  <c:v>27011.621360065605</c:v>
                </c:pt>
                <c:pt idx="414">
                  <c:v>43372.623712284796</c:v>
                </c:pt>
                <c:pt idx="415">
                  <c:v>46143.801910643597</c:v>
                </c:pt>
                <c:pt idx="416">
                  <c:v>44372.548626159689</c:v>
                </c:pt>
                <c:pt idx="417">
                  <c:v>33103.503125799951</c:v>
                </c:pt>
                <c:pt idx="418">
                  <c:v>35415.345930318188</c:v>
                </c:pt>
                <c:pt idx="419">
                  <c:v>18120.174248962656</c:v>
                </c:pt>
                <c:pt idx="420">
                  <c:v>36155.795248968396</c:v>
                </c:pt>
                <c:pt idx="421">
                  <c:v>30672.543048152336</c:v>
                </c:pt>
                <c:pt idx="422">
                  <c:v>29916.051512422055</c:v>
                </c:pt>
                <c:pt idx="423">
                  <c:v>39630.56600097593</c:v>
                </c:pt>
                <c:pt idx="424">
                  <c:v>42932.284297536607</c:v>
                </c:pt>
                <c:pt idx="425">
                  <c:v>32255.653319905156</c:v>
                </c:pt>
                <c:pt idx="426">
                  <c:v>33851.503897075854</c:v>
                </c:pt>
                <c:pt idx="427">
                  <c:v>35849.711886812256</c:v>
                </c:pt>
                <c:pt idx="428">
                  <c:v>25227.56334863582</c:v>
                </c:pt>
                <c:pt idx="429">
                  <c:v>30103.657073000446</c:v>
                </c:pt>
                <c:pt idx="430">
                  <c:v>30737.841699251723</c:v>
                </c:pt>
                <c:pt idx="431">
                  <c:v>34584.128978239009</c:v>
                </c:pt>
                <c:pt idx="432">
                  <c:v>48759.08785931993</c:v>
                </c:pt>
                <c:pt idx="433">
                  <c:v>44856.418087916834</c:v>
                </c:pt>
                <c:pt idx="434">
                  <c:v>48054.447083196901</c:v>
                </c:pt>
                <c:pt idx="435">
                  <c:v>38167.234371252467</c:v>
                </c:pt>
                <c:pt idx="436">
                  <c:v>41946.168523609704</c:v>
                </c:pt>
                <c:pt idx="437">
                  <c:v>35081.659254649836</c:v>
                </c:pt>
                <c:pt idx="438">
                  <c:v>26020.397919443472</c:v>
                </c:pt>
                <c:pt idx="439">
                  <c:v>32833.001181084794</c:v>
                </c:pt>
                <c:pt idx="440">
                  <c:v>30157.122052768071</c:v>
                </c:pt>
                <c:pt idx="441">
                  <c:v>37115.281419405743</c:v>
                </c:pt>
                <c:pt idx="442">
                  <c:v>30977.818291066462</c:v>
                </c:pt>
                <c:pt idx="443">
                  <c:v>19424.40794577128</c:v>
                </c:pt>
                <c:pt idx="444">
                  <c:v>31087.145607872488</c:v>
                </c:pt>
                <c:pt idx="445">
                  <c:v>37983.777476510702</c:v>
                </c:pt>
                <c:pt idx="446">
                  <c:v>53141.725060002158</c:v>
                </c:pt>
                <c:pt idx="447">
                  <c:v>46553.071431425022</c:v>
                </c:pt>
                <c:pt idx="448">
                  <c:v>26286.355902099946</c:v>
                </c:pt>
                <c:pt idx="449">
                  <c:v>39768.533654094143</c:v>
                </c:pt>
                <c:pt idx="450">
                  <c:v>41853.266458408878</c:v>
                </c:pt>
                <c:pt idx="451">
                  <c:v>28261.884425930395</c:v>
                </c:pt>
                <c:pt idx="452">
                  <c:v>34834.213707832678</c:v>
                </c:pt>
                <c:pt idx="453">
                  <c:v>51848.50688362676</c:v>
                </c:pt>
                <c:pt idx="454">
                  <c:v>35685.923030058628</c:v>
                </c:pt>
                <c:pt idx="455">
                  <c:v>20431.145778033053</c:v>
                </c:pt>
                <c:pt idx="456">
                  <c:v>30230.454380259289</c:v>
                </c:pt>
                <c:pt idx="457">
                  <c:v>41199.977476399523</c:v>
                </c:pt>
                <c:pt idx="458">
                  <c:v>37461.888348880733</c:v>
                </c:pt>
                <c:pt idx="459">
                  <c:v>48755.868068105701</c:v>
                </c:pt>
                <c:pt idx="460">
                  <c:v>45358.401602717255</c:v>
                </c:pt>
                <c:pt idx="461">
                  <c:v>37610.230227012318</c:v>
                </c:pt>
                <c:pt idx="462">
                  <c:v>29340.580387516951</c:v>
                </c:pt>
                <c:pt idx="463">
                  <c:v>35246.460387446743</c:v>
                </c:pt>
                <c:pt idx="464">
                  <c:v>32905.616700176572</c:v>
                </c:pt>
                <c:pt idx="465">
                  <c:v>31589.133337478321</c:v>
                </c:pt>
                <c:pt idx="466">
                  <c:v>27103.457670898351</c:v>
                </c:pt>
                <c:pt idx="467">
                  <c:v>26003.889567263621</c:v>
                </c:pt>
                <c:pt idx="468">
                  <c:v>42036.996061981437</c:v>
                </c:pt>
                <c:pt idx="469">
                  <c:v>38814.790231262654</c:v>
                </c:pt>
                <c:pt idx="470">
                  <c:v>32207.411781111536</c:v>
                </c:pt>
                <c:pt idx="471">
                  <c:v>32719.807054393954</c:v>
                </c:pt>
                <c:pt idx="472">
                  <c:v>36277.108471969303</c:v>
                </c:pt>
                <c:pt idx="473">
                  <c:v>45734.204457932516</c:v>
                </c:pt>
                <c:pt idx="474">
                  <c:v>36273.119643420068</c:v>
                </c:pt>
                <c:pt idx="475">
                  <c:v>20788.174046624415</c:v>
                </c:pt>
                <c:pt idx="476">
                  <c:v>31335.49489887229</c:v>
                </c:pt>
                <c:pt idx="477">
                  <c:v>29033.266237941374</c:v>
                </c:pt>
                <c:pt idx="478">
                  <c:v>34105.41443609829</c:v>
                </c:pt>
                <c:pt idx="479">
                  <c:v>28638.996057115306</c:v>
                </c:pt>
                <c:pt idx="480">
                  <c:v>47513.317874803543</c:v>
                </c:pt>
                <c:pt idx="481">
                  <c:v>46777.852013295058</c:v>
                </c:pt>
                <c:pt idx="482">
                  <c:v>38205.588489355599</c:v>
                </c:pt>
                <c:pt idx="483">
                  <c:v>31078.84758955468</c:v>
                </c:pt>
                <c:pt idx="484">
                  <c:v>43416.100427916201</c:v>
                </c:pt>
                <c:pt idx="485">
                  <c:v>30905.915832783234</c:v>
                </c:pt>
                <c:pt idx="486">
                  <c:v>14757.147296826406</c:v>
                </c:pt>
                <c:pt idx="487">
                  <c:v>36421.413331673684</c:v>
                </c:pt>
                <c:pt idx="488">
                  <c:v>35492.26287027631</c:v>
                </c:pt>
                <c:pt idx="489">
                  <c:v>36979.35148831852</c:v>
                </c:pt>
                <c:pt idx="490">
                  <c:v>32486.886424922413</c:v>
                </c:pt>
                <c:pt idx="491">
                  <c:v>34081.49787286581</c:v>
                </c:pt>
                <c:pt idx="492">
                  <c:v>39752.720715130308</c:v>
                </c:pt>
                <c:pt idx="493">
                  <c:v>31963.526113221866</c:v>
                </c:pt>
                <c:pt idx="494">
                  <c:v>53463.552437296625</c:v>
                </c:pt>
                <c:pt idx="495">
                  <c:v>35156.367684825127</c:v>
                </c:pt>
                <c:pt idx="496">
                  <c:v>39413.027410728457</c:v>
                </c:pt>
                <c:pt idx="497">
                  <c:v>30790.633537047455</c:v>
                </c:pt>
                <c:pt idx="498">
                  <c:v>52458.349842733973</c:v>
                </c:pt>
                <c:pt idx="499">
                  <c:v>43768.558811743271</c:v>
                </c:pt>
                <c:pt idx="500">
                  <c:v>40678.966003078538</c:v>
                </c:pt>
                <c:pt idx="501">
                  <c:v>22053.84968325511</c:v>
                </c:pt>
                <c:pt idx="502">
                  <c:v>29458.813410291084</c:v>
                </c:pt>
                <c:pt idx="503">
                  <c:v>54264.192460859085</c:v>
                </c:pt>
                <c:pt idx="504">
                  <c:v>29171.988980284106</c:v>
                </c:pt>
                <c:pt idx="505">
                  <c:v>24852.375752603759</c:v>
                </c:pt>
                <c:pt idx="506">
                  <c:v>39373.927528351524</c:v>
                </c:pt>
                <c:pt idx="507">
                  <c:v>37073.514158701793</c:v>
                </c:pt>
                <c:pt idx="508">
                  <c:v>23689.219539855221</c:v>
                </c:pt>
                <c:pt idx="509">
                  <c:v>39446.325131371057</c:v>
                </c:pt>
                <c:pt idx="510">
                  <c:v>28144.644195706212</c:v>
                </c:pt>
                <c:pt idx="511">
                  <c:v>42102.524405577824</c:v>
                </c:pt>
                <c:pt idx="512">
                  <c:v>28131.471862946644</c:v>
                </c:pt>
                <c:pt idx="513">
                  <c:v>30055.953058533531</c:v>
                </c:pt>
                <c:pt idx="514">
                  <c:v>33993.951697000841</c:v>
                </c:pt>
                <c:pt idx="515">
                  <c:v>26643.335782405913</c:v>
                </c:pt>
                <c:pt idx="516">
                  <c:v>55440.870328312005</c:v>
                </c:pt>
                <c:pt idx="517">
                  <c:v>26079.53721009109</c:v>
                </c:pt>
                <c:pt idx="518">
                  <c:v>32155.5975806848</c:v>
                </c:pt>
                <c:pt idx="519">
                  <c:v>21014.08074842106</c:v>
                </c:pt>
                <c:pt idx="520">
                  <c:v>56007.787388258883</c:v>
                </c:pt>
                <c:pt idx="521">
                  <c:v>40517.701045611357</c:v>
                </c:pt>
                <c:pt idx="522">
                  <c:v>41199.895402287853</c:v>
                </c:pt>
                <c:pt idx="523">
                  <c:v>45760.426842974433</c:v>
                </c:pt>
                <c:pt idx="524">
                  <c:v>26821.128481789761</c:v>
                </c:pt>
                <c:pt idx="525">
                  <c:v>50172.038179154821</c:v>
                </c:pt>
                <c:pt idx="526">
                  <c:v>30921.703365629684</c:v>
                </c:pt>
                <c:pt idx="527">
                  <c:v>36644.397517624013</c:v>
                </c:pt>
                <c:pt idx="528">
                  <c:v>23024.831367765917</c:v>
                </c:pt>
                <c:pt idx="529">
                  <c:v>38737.847665244619</c:v>
                </c:pt>
                <c:pt idx="530">
                  <c:v>42202.235440109049</c:v>
                </c:pt>
                <c:pt idx="531">
                  <c:v>27616.766928515921</c:v>
                </c:pt>
                <c:pt idx="532">
                  <c:v>31351.26081825413</c:v>
                </c:pt>
                <c:pt idx="533">
                  <c:v>41791.768013681787</c:v>
                </c:pt>
                <c:pt idx="534">
                  <c:v>31406.189017660785</c:v>
                </c:pt>
                <c:pt idx="535">
                  <c:v>29112.051100981567</c:v>
                </c:pt>
                <c:pt idx="536">
                  <c:v>21611.93824155008</c:v>
                </c:pt>
                <c:pt idx="537">
                  <c:v>35982.584834450499</c:v>
                </c:pt>
                <c:pt idx="538">
                  <c:v>51149.281971590935</c:v>
                </c:pt>
                <c:pt idx="539">
                  <c:v>25143.073740945416</c:v>
                </c:pt>
                <c:pt idx="540">
                  <c:v>26867.097396531972</c:v>
                </c:pt>
                <c:pt idx="541">
                  <c:v>27474.41192982997</c:v>
                </c:pt>
                <c:pt idx="542">
                  <c:v>42752.974119131388</c:v>
                </c:pt>
                <c:pt idx="543">
                  <c:v>33363.329850708054</c:v>
                </c:pt>
                <c:pt idx="544">
                  <c:v>27987.539240942562</c:v>
                </c:pt>
                <c:pt idx="545">
                  <c:v>22754.959917362277</c:v>
                </c:pt>
                <c:pt idx="546">
                  <c:v>32485.084097803585</c:v>
                </c:pt>
                <c:pt idx="547">
                  <c:v>38656.476709224538</c:v>
                </c:pt>
                <c:pt idx="548">
                  <c:v>29642.676592996671</c:v>
                </c:pt>
                <c:pt idx="549">
                  <c:v>36597.041265363732</c:v>
                </c:pt>
                <c:pt idx="550">
                  <c:v>37408.45033617485</c:v>
                </c:pt>
                <c:pt idx="551">
                  <c:v>39729.342430955126</c:v>
                </c:pt>
                <c:pt idx="552">
                  <c:v>51898.722285265903</c:v>
                </c:pt>
                <c:pt idx="553">
                  <c:v>33309.316020615159</c:v>
                </c:pt>
                <c:pt idx="554">
                  <c:v>34830.643337534115</c:v>
                </c:pt>
                <c:pt idx="555">
                  <c:v>39730.199024590693</c:v>
                </c:pt>
                <c:pt idx="556">
                  <c:v>29457.6523454341</c:v>
                </c:pt>
                <c:pt idx="557">
                  <c:v>39957.146958998041</c:v>
                </c:pt>
                <c:pt idx="558">
                  <c:v>54419.103543800637</c:v>
                </c:pt>
                <c:pt idx="559">
                  <c:v>24908.686375448939</c:v>
                </c:pt>
                <c:pt idx="560">
                  <c:v>46884.406154086733</c:v>
                </c:pt>
                <c:pt idx="561">
                  <c:v>55754.068051855633</c:v>
                </c:pt>
                <c:pt idx="562">
                  <c:v>39052.752688751934</c:v>
                </c:pt>
                <c:pt idx="563">
                  <c:v>32480.772910632077</c:v>
                </c:pt>
                <c:pt idx="564">
                  <c:v>23904.182897712752</c:v>
                </c:pt>
                <c:pt idx="565">
                  <c:v>47133.718783409982</c:v>
                </c:pt>
                <c:pt idx="566">
                  <c:v>33825.244036818847</c:v>
                </c:pt>
                <c:pt idx="567">
                  <c:v>38020.526697034627</c:v>
                </c:pt>
                <c:pt idx="568">
                  <c:v>57633.013934897375</c:v>
                </c:pt>
                <c:pt idx="569">
                  <c:v>63464.655130165862</c:v>
                </c:pt>
                <c:pt idx="570">
                  <c:v>32367.106205119613</c:v>
                </c:pt>
                <c:pt idx="571">
                  <c:v>19154.334977959363</c:v>
                </c:pt>
                <c:pt idx="572">
                  <c:v>42071.56107510734</c:v>
                </c:pt>
                <c:pt idx="573">
                  <c:v>38224.840533599323</c:v>
                </c:pt>
                <c:pt idx="574">
                  <c:v>42079.954884006103</c:v>
                </c:pt>
                <c:pt idx="575">
                  <c:v>32948.126933739477</c:v>
                </c:pt>
                <c:pt idx="576">
                  <c:v>38073.070534109393</c:v>
                </c:pt>
                <c:pt idx="577">
                  <c:v>50349.050090155484</c:v>
                </c:pt>
                <c:pt idx="578">
                  <c:v>52707.252446569197</c:v>
                </c:pt>
                <c:pt idx="579">
                  <c:v>30791.90630277295</c:v>
                </c:pt>
                <c:pt idx="580">
                  <c:v>34746.290573451588</c:v>
                </c:pt>
                <c:pt idx="581">
                  <c:v>40763.131616390863</c:v>
                </c:pt>
                <c:pt idx="582">
                  <c:v>24400.366790340311</c:v>
                </c:pt>
                <c:pt idx="583">
                  <c:v>39654.622416618404</c:v>
                </c:pt>
                <c:pt idx="584">
                  <c:v>39023.54344688882</c:v>
                </c:pt>
                <c:pt idx="585">
                  <c:v>41104.376511267154</c:v>
                </c:pt>
                <c:pt idx="586">
                  <c:v>29873.811656352911</c:v>
                </c:pt>
                <c:pt idx="587">
                  <c:v>18307.662808647838</c:v>
                </c:pt>
                <c:pt idx="588">
                  <c:v>38124.283617023051</c:v>
                </c:pt>
                <c:pt idx="589">
                  <c:v>35083.733414816685</c:v>
                </c:pt>
                <c:pt idx="590">
                  <c:v>35741.804332253152</c:v>
                </c:pt>
                <c:pt idx="591">
                  <c:v>26475.898736942931</c:v>
                </c:pt>
                <c:pt idx="592">
                  <c:v>41557.59604646339</c:v>
                </c:pt>
                <c:pt idx="593">
                  <c:v>44344.474935129438</c:v>
                </c:pt>
                <c:pt idx="594">
                  <c:v>26188.543436289074</c:v>
                </c:pt>
                <c:pt idx="595">
                  <c:v>29875.351195265001</c:v>
                </c:pt>
                <c:pt idx="596">
                  <c:v>33803.966437077201</c:v>
                </c:pt>
                <c:pt idx="597">
                  <c:v>35693.185897048177</c:v>
                </c:pt>
                <c:pt idx="598">
                  <c:v>51006.157133222499</c:v>
                </c:pt>
                <c:pt idx="599">
                  <c:v>40252.84476076303</c:v>
                </c:pt>
                <c:pt idx="600">
                  <c:v>36608.161889868294</c:v>
                </c:pt>
                <c:pt idx="601">
                  <c:v>34894.466026794471</c:v>
                </c:pt>
                <c:pt idx="602">
                  <c:v>50092.443367497333</c:v>
                </c:pt>
                <c:pt idx="603">
                  <c:v>55138.914114729247</c:v>
                </c:pt>
                <c:pt idx="604">
                  <c:v>30479.230923257317</c:v>
                </c:pt>
                <c:pt idx="605">
                  <c:v>16433.936637901614</c:v>
                </c:pt>
                <c:pt idx="606">
                  <c:v>34847.650895117331</c:v>
                </c:pt>
                <c:pt idx="607">
                  <c:v>32632.236679637208</c:v>
                </c:pt>
                <c:pt idx="608">
                  <c:v>23134.06938091632</c:v>
                </c:pt>
                <c:pt idx="609">
                  <c:v>34101.375292560297</c:v>
                </c:pt>
                <c:pt idx="610">
                  <c:v>37418.702123908573</c:v>
                </c:pt>
                <c:pt idx="611">
                  <c:v>30313.295978061709</c:v>
                </c:pt>
                <c:pt idx="612">
                  <c:v>19275.40981216076</c:v>
                </c:pt>
                <c:pt idx="613">
                  <c:v>47801.337142714598</c:v>
                </c:pt>
                <c:pt idx="614">
                  <c:v>42605.381817072186</c:v>
                </c:pt>
                <c:pt idx="615">
                  <c:v>40490.68367508347</c:v>
                </c:pt>
                <c:pt idx="616">
                  <c:v>22511.606109782559</c:v>
                </c:pt>
                <c:pt idx="617">
                  <c:v>36960.64305812354</c:v>
                </c:pt>
                <c:pt idx="618">
                  <c:v>35753.117240497952</c:v>
                </c:pt>
                <c:pt idx="619">
                  <c:v>35469.299149976236</c:v>
                </c:pt>
                <c:pt idx="620">
                  <c:v>18489.948024473451</c:v>
                </c:pt>
                <c:pt idx="621">
                  <c:v>24202.051622806204</c:v>
                </c:pt>
                <c:pt idx="622">
                  <c:v>29664.925161052008</c:v>
                </c:pt>
                <c:pt idx="623">
                  <c:v>19899.512671980265</c:v>
                </c:pt>
                <c:pt idx="624">
                  <c:v>38996.770421012086</c:v>
                </c:pt>
                <c:pt idx="625">
                  <c:v>41599.469070651408</c:v>
                </c:pt>
                <c:pt idx="626">
                  <c:v>20764.548459512662</c:v>
                </c:pt>
                <c:pt idx="627">
                  <c:v>43765.819710846365</c:v>
                </c:pt>
                <c:pt idx="628">
                  <c:v>45750.756671150855</c:v>
                </c:pt>
                <c:pt idx="629">
                  <c:v>28568.582086498151</c:v>
                </c:pt>
                <c:pt idx="630">
                  <c:v>48690.380587289641</c:v>
                </c:pt>
                <c:pt idx="631">
                  <c:v>55600.195769063284</c:v>
                </c:pt>
                <c:pt idx="632">
                  <c:v>32276.516077313667</c:v>
                </c:pt>
                <c:pt idx="633">
                  <c:v>44270.202875984323</c:v>
                </c:pt>
                <c:pt idx="634">
                  <c:v>26886.510947181116</c:v>
                </c:pt>
                <c:pt idx="635">
                  <c:v>28308.317216680174</c:v>
                </c:pt>
                <c:pt idx="636">
                  <c:v>26432.157008639901</c:v>
                </c:pt>
                <c:pt idx="637">
                  <c:v>25209.888956345829</c:v>
                </c:pt>
                <c:pt idx="638">
                  <c:v>17785.819941283531</c:v>
                </c:pt>
                <c:pt idx="639">
                  <c:v>66194.56018726094</c:v>
                </c:pt>
                <c:pt idx="640">
                  <c:v>32272.651002751678</c:v>
                </c:pt>
                <c:pt idx="641">
                  <c:v>31232.807467607287</c:v>
                </c:pt>
                <c:pt idx="642">
                  <c:v>42939.847072497505</c:v>
                </c:pt>
                <c:pt idx="643">
                  <c:v>33904.445963479076</c:v>
                </c:pt>
                <c:pt idx="644">
                  <c:v>33644.500865128401</c:v>
                </c:pt>
                <c:pt idx="645">
                  <c:v>32053.900219570256</c:v>
                </c:pt>
                <c:pt idx="646">
                  <c:v>14468.771577122061</c:v>
                </c:pt>
                <c:pt idx="647">
                  <c:v>40425.010360767541</c:v>
                </c:pt>
                <c:pt idx="648">
                  <c:v>44337.322019700754</c:v>
                </c:pt>
                <c:pt idx="649">
                  <c:v>29466.116611981168</c:v>
                </c:pt>
                <c:pt idx="650">
                  <c:v>28184.957507018276</c:v>
                </c:pt>
                <c:pt idx="651">
                  <c:v>35650.275966271998</c:v>
                </c:pt>
                <c:pt idx="652">
                  <c:v>29599.198123970098</c:v>
                </c:pt>
                <c:pt idx="653">
                  <c:v>23947.826619189691</c:v>
                </c:pt>
                <c:pt idx="654">
                  <c:v>39585.147453892219</c:v>
                </c:pt>
                <c:pt idx="655">
                  <c:v>51355.354794515435</c:v>
                </c:pt>
                <c:pt idx="656">
                  <c:v>51487.21823631852</c:v>
                </c:pt>
                <c:pt idx="657">
                  <c:v>37819.27759593464</c:v>
                </c:pt>
                <c:pt idx="658">
                  <c:v>28614.7950752205</c:v>
                </c:pt>
                <c:pt idx="659">
                  <c:v>21255.251002592282</c:v>
                </c:pt>
                <c:pt idx="660">
                  <c:v>34987.308647430829</c:v>
                </c:pt>
                <c:pt idx="661">
                  <c:v>44698.092602361423</c:v>
                </c:pt>
                <c:pt idx="662">
                  <c:v>43346.487298535758</c:v>
                </c:pt>
                <c:pt idx="663">
                  <c:v>38999.826304289141</c:v>
                </c:pt>
                <c:pt idx="664">
                  <c:v>28507.080057421037</c:v>
                </c:pt>
                <c:pt idx="665">
                  <c:v>23193.281397958395</c:v>
                </c:pt>
                <c:pt idx="666">
                  <c:v>38118.147178063242</c:v>
                </c:pt>
                <c:pt idx="667">
                  <c:v>39449.846266923007</c:v>
                </c:pt>
                <c:pt idx="668">
                  <c:v>23586.619484902491</c:v>
                </c:pt>
                <c:pt idx="669">
                  <c:v>29818.945177093119</c:v>
                </c:pt>
                <c:pt idx="670">
                  <c:v>22525.915377978054</c:v>
                </c:pt>
                <c:pt idx="671">
                  <c:v>34792.726429121649</c:v>
                </c:pt>
                <c:pt idx="672">
                  <c:v>35784.245556419599</c:v>
                </c:pt>
                <c:pt idx="673">
                  <c:v>44070.336653968334</c:v>
                </c:pt>
                <c:pt idx="674">
                  <c:v>34027.602528905889</c:v>
                </c:pt>
                <c:pt idx="675">
                  <c:v>32449.922337958735</c:v>
                </c:pt>
                <c:pt idx="676">
                  <c:v>28270.517374655639</c:v>
                </c:pt>
                <c:pt idx="677">
                  <c:v>24435.670794102909</c:v>
                </c:pt>
                <c:pt idx="678">
                  <c:v>30575.244474682018</c:v>
                </c:pt>
                <c:pt idx="679">
                  <c:v>33826.175204865489</c:v>
                </c:pt>
                <c:pt idx="680">
                  <c:v>31744.613177723833</c:v>
                </c:pt>
                <c:pt idx="681">
                  <c:v>26513.049570043215</c:v>
                </c:pt>
                <c:pt idx="682">
                  <c:v>39218.33880489954</c:v>
                </c:pt>
                <c:pt idx="683">
                  <c:v>29222.661130910747</c:v>
                </c:pt>
                <c:pt idx="684">
                  <c:v>31799.260602941016</c:v>
                </c:pt>
                <c:pt idx="685">
                  <c:v>35317.301136446229</c:v>
                </c:pt>
                <c:pt idx="686">
                  <c:v>23590.965554721442</c:v>
                </c:pt>
                <c:pt idx="687">
                  <c:v>34173.474569766804</c:v>
                </c:pt>
                <c:pt idx="688">
                  <c:v>46273.940369443626</c:v>
                </c:pt>
                <c:pt idx="689">
                  <c:v>31359.332736324723</c:v>
                </c:pt>
                <c:pt idx="690">
                  <c:v>40555.352848314782</c:v>
                </c:pt>
                <c:pt idx="691">
                  <c:v>39206.326185393234</c:v>
                </c:pt>
                <c:pt idx="692">
                  <c:v>20832.436622360729</c:v>
                </c:pt>
                <c:pt idx="693">
                  <c:v>34509.37082802807</c:v>
                </c:pt>
                <c:pt idx="694">
                  <c:v>48326.338917976354</c:v>
                </c:pt>
                <c:pt idx="695">
                  <c:v>40667.1785593569</c:v>
                </c:pt>
                <c:pt idx="696">
                  <c:v>27020.216068155896</c:v>
                </c:pt>
                <c:pt idx="697">
                  <c:v>60466.819717146442</c:v>
                </c:pt>
                <c:pt idx="698">
                  <c:v>40549.383150631111</c:v>
                </c:pt>
                <c:pt idx="699">
                  <c:v>34295.74442660412</c:v>
                </c:pt>
                <c:pt idx="700">
                  <c:v>41027.869300910745</c:v>
                </c:pt>
                <c:pt idx="701">
                  <c:v>56992.613221988533</c:v>
                </c:pt>
                <c:pt idx="702">
                  <c:v>22240.122593188687</c:v>
                </c:pt>
                <c:pt idx="703">
                  <c:v>42777.245240898847</c:v>
                </c:pt>
                <c:pt idx="704">
                  <c:v>26322.460676702191</c:v>
                </c:pt>
                <c:pt idx="705">
                  <c:v>22230.786347712557</c:v>
                </c:pt>
                <c:pt idx="706">
                  <c:v>22892.788557797707</c:v>
                </c:pt>
                <c:pt idx="707">
                  <c:v>28467.821925176962</c:v>
                </c:pt>
                <c:pt idx="708">
                  <c:v>69523.446493741794</c:v>
                </c:pt>
                <c:pt idx="709">
                  <c:v>26952.995486680404</c:v>
                </c:pt>
                <c:pt idx="710">
                  <c:v>28216.408011998465</c:v>
                </c:pt>
                <c:pt idx="711">
                  <c:v>23469.57595855699</c:v>
                </c:pt>
                <c:pt idx="712">
                  <c:v>21921.00888853005</c:v>
                </c:pt>
                <c:pt idx="713">
                  <c:v>43823.890144735167</c:v>
                </c:pt>
                <c:pt idx="714">
                  <c:v>32286.27458215542</c:v>
                </c:pt>
                <c:pt idx="715">
                  <c:v>38272.895487475485</c:v>
                </c:pt>
                <c:pt idx="716">
                  <c:v>27491.950114290717</c:v>
                </c:pt>
                <c:pt idx="717">
                  <c:v>44131.176767272031</c:v>
                </c:pt>
                <c:pt idx="718">
                  <c:v>31745.594979917558</c:v>
                </c:pt>
                <c:pt idx="719">
                  <c:v>25438.990438126901</c:v>
                </c:pt>
                <c:pt idx="720">
                  <c:v>34876.601889370933</c:v>
                </c:pt>
                <c:pt idx="721">
                  <c:v>25243.836856464746</c:v>
                </c:pt>
                <c:pt idx="722">
                  <c:v>30546.252626001267</c:v>
                </c:pt>
                <c:pt idx="723">
                  <c:v>32470.431904867277</c:v>
                </c:pt>
                <c:pt idx="724">
                  <c:v>18544.646997585456</c:v>
                </c:pt>
                <c:pt idx="725">
                  <c:v>47781.494363444057</c:v>
                </c:pt>
                <c:pt idx="726">
                  <c:v>32227.873076403746</c:v>
                </c:pt>
                <c:pt idx="727">
                  <c:v>28269.363756315572</c:v>
                </c:pt>
                <c:pt idx="728">
                  <c:v>40367.982722406145</c:v>
                </c:pt>
                <c:pt idx="729">
                  <c:v>15769.055063347136</c:v>
                </c:pt>
                <c:pt idx="730">
                  <c:v>36542.193029242917</c:v>
                </c:pt>
                <c:pt idx="731">
                  <c:v>29475.480556412818</c:v>
                </c:pt>
                <c:pt idx="732">
                  <c:v>51827.36757278553</c:v>
                </c:pt>
                <c:pt idx="733">
                  <c:v>22360.710072222959</c:v>
                </c:pt>
                <c:pt idx="734">
                  <c:v>30983.213377024607</c:v>
                </c:pt>
                <c:pt idx="735">
                  <c:v>37888.408913128798</c:v>
                </c:pt>
                <c:pt idx="736">
                  <c:v>35224.903258754755</c:v>
                </c:pt>
                <c:pt idx="737">
                  <c:v>40897.588475873898</c:v>
                </c:pt>
                <c:pt idx="738">
                  <c:v>45028.802462892694</c:v>
                </c:pt>
                <c:pt idx="739">
                  <c:v>37028.749010235188</c:v>
                </c:pt>
                <c:pt idx="740">
                  <c:v>35568.050211716516</c:v>
                </c:pt>
                <c:pt idx="741">
                  <c:v>28145.641922281924</c:v>
                </c:pt>
                <c:pt idx="742">
                  <c:v>25402.66945358774</c:v>
                </c:pt>
                <c:pt idx="743">
                  <c:v>46343.833273835546</c:v>
                </c:pt>
                <c:pt idx="744">
                  <c:v>33101.697484338256</c:v>
                </c:pt>
                <c:pt idx="745">
                  <c:v>34313.606251748919</c:v>
                </c:pt>
                <c:pt idx="746">
                  <c:v>27471.684364749082</c:v>
                </c:pt>
                <c:pt idx="747">
                  <c:v>29989.747517471027</c:v>
                </c:pt>
                <c:pt idx="748">
                  <c:v>18306.14781320341</c:v>
                </c:pt>
                <c:pt idx="749">
                  <c:v>26575.890592564181</c:v>
                </c:pt>
                <c:pt idx="750">
                  <c:v>25088.391503695748</c:v>
                </c:pt>
                <c:pt idx="751">
                  <c:v>21743.401525424699</c:v>
                </c:pt>
                <c:pt idx="752">
                  <c:v>22228.342395207335</c:v>
                </c:pt>
                <c:pt idx="753">
                  <c:v>47584.487206707818</c:v>
                </c:pt>
                <c:pt idx="754">
                  <c:v>39647.788832393569</c:v>
                </c:pt>
                <c:pt idx="755">
                  <c:v>37506.394727366307</c:v>
                </c:pt>
                <c:pt idx="756">
                  <c:v>34167.848264332293</c:v>
                </c:pt>
                <c:pt idx="757">
                  <c:v>47456.354644420608</c:v>
                </c:pt>
                <c:pt idx="758">
                  <c:v>35892.236225439578</c:v>
                </c:pt>
                <c:pt idx="759">
                  <c:v>35087.861006162966</c:v>
                </c:pt>
                <c:pt idx="760">
                  <c:v>28998.751793234784</c:v>
                </c:pt>
                <c:pt idx="761">
                  <c:v>30205.72874492572</c:v>
                </c:pt>
                <c:pt idx="762">
                  <c:v>25136.360115081254</c:v>
                </c:pt>
                <c:pt idx="763">
                  <c:v>37349.93585546231</c:v>
                </c:pt>
                <c:pt idx="764">
                  <c:v>40536.477972701614</c:v>
                </c:pt>
                <c:pt idx="765">
                  <c:v>39635.445789838312</c:v>
                </c:pt>
                <c:pt idx="766">
                  <c:v>26732.206548787122</c:v>
                </c:pt>
                <c:pt idx="767">
                  <c:v>32311.691535565122</c:v>
                </c:pt>
                <c:pt idx="768">
                  <c:v>20682.200131611404</c:v>
                </c:pt>
                <c:pt idx="769">
                  <c:v>31079.61729451389</c:v>
                </c:pt>
                <c:pt idx="770">
                  <c:v>43764.200583564285</c:v>
                </c:pt>
                <c:pt idx="771">
                  <c:v>24289.598847114401</c:v>
                </c:pt>
                <c:pt idx="772">
                  <c:v>32214.005020201206</c:v>
                </c:pt>
                <c:pt idx="773">
                  <c:v>30206.059618230131</c:v>
                </c:pt>
                <c:pt idx="774">
                  <c:v>32121.230836368544</c:v>
                </c:pt>
                <c:pt idx="775">
                  <c:v>39689.432125695545</c:v>
                </c:pt>
                <c:pt idx="776">
                  <c:v>35269.715137932137</c:v>
                </c:pt>
                <c:pt idx="777">
                  <c:v>48105.285813242277</c:v>
                </c:pt>
                <c:pt idx="778">
                  <c:v>19945.113518266393</c:v>
                </c:pt>
                <c:pt idx="779">
                  <c:v>55062.128479359439</c:v>
                </c:pt>
                <c:pt idx="780">
                  <c:v>28134.797739283807</c:v>
                </c:pt>
                <c:pt idx="781">
                  <c:v>43978.601019754504</c:v>
                </c:pt>
                <c:pt idx="782">
                  <c:v>34820.998426356025</c:v>
                </c:pt>
                <c:pt idx="783">
                  <c:v>54948.92189779719</c:v>
                </c:pt>
                <c:pt idx="784">
                  <c:v>30412.488181114168</c:v>
                </c:pt>
                <c:pt idx="785">
                  <c:v>45286.583027000466</c:v>
                </c:pt>
                <c:pt idx="786">
                  <c:v>32298.118152549629</c:v>
                </c:pt>
                <c:pt idx="787">
                  <c:v>30437.56637928282</c:v>
                </c:pt>
                <c:pt idx="788">
                  <c:v>35467.780443858384</c:v>
                </c:pt>
                <c:pt idx="789">
                  <c:v>57319.135990167939</c:v>
                </c:pt>
                <c:pt idx="790">
                  <c:v>38698.098400257411</c:v>
                </c:pt>
                <c:pt idx="791">
                  <c:v>33090.703652404642</c:v>
                </c:pt>
                <c:pt idx="792">
                  <c:v>35459.145413365404</c:v>
                </c:pt>
                <c:pt idx="793">
                  <c:v>59165.343581697547</c:v>
                </c:pt>
                <c:pt idx="794">
                  <c:v>42619.951591919104</c:v>
                </c:pt>
                <c:pt idx="795">
                  <c:v>25569.641601373129</c:v>
                </c:pt>
                <c:pt idx="796">
                  <c:v>62646.50350092649</c:v>
                </c:pt>
                <c:pt idx="797">
                  <c:v>33632.792762740173</c:v>
                </c:pt>
                <c:pt idx="798">
                  <c:v>15461.570162525881</c:v>
                </c:pt>
                <c:pt idx="799">
                  <c:v>40179.564975242902</c:v>
                </c:pt>
                <c:pt idx="800">
                  <c:v>28167.891823793238</c:v>
                </c:pt>
                <c:pt idx="801">
                  <c:v>30934.171575287852</c:v>
                </c:pt>
                <c:pt idx="802">
                  <c:v>26041.29724518591</c:v>
                </c:pt>
                <c:pt idx="803">
                  <c:v>34814.058552825772</c:v>
                </c:pt>
                <c:pt idx="804">
                  <c:v>52047.852903833336</c:v>
                </c:pt>
                <c:pt idx="805">
                  <c:v>26696.366062275636</c:v>
                </c:pt>
                <c:pt idx="806">
                  <c:v>25036.159639729769</c:v>
                </c:pt>
                <c:pt idx="807">
                  <c:v>36823.744474003426</c:v>
                </c:pt>
                <c:pt idx="808">
                  <c:v>44016.525885555224</c:v>
                </c:pt>
                <c:pt idx="809">
                  <c:v>31828.820267026247</c:v>
                </c:pt>
                <c:pt idx="810">
                  <c:v>57045.876122826703</c:v>
                </c:pt>
                <c:pt idx="811">
                  <c:v>39437.328013750906</c:v>
                </c:pt>
                <c:pt idx="812">
                  <c:v>33631.771993785347</c:v>
                </c:pt>
                <c:pt idx="813">
                  <c:v>35605.008204069723</c:v>
                </c:pt>
                <c:pt idx="814">
                  <c:v>29337.661481163304</c:v>
                </c:pt>
                <c:pt idx="815">
                  <c:v>39852.557431037239</c:v>
                </c:pt>
                <c:pt idx="816">
                  <c:v>39409.970550009224</c:v>
                </c:pt>
                <c:pt idx="817">
                  <c:v>43819.708062255624</c:v>
                </c:pt>
                <c:pt idx="818">
                  <c:v>43195.148269043028</c:v>
                </c:pt>
                <c:pt idx="819">
                  <c:v>37861.760507918698</c:v>
                </c:pt>
                <c:pt idx="820">
                  <c:v>37996.539548829351</c:v>
                </c:pt>
                <c:pt idx="821">
                  <c:v>32180.897242160696</c:v>
                </c:pt>
                <c:pt idx="822">
                  <c:v>50194.314607927561</c:v>
                </c:pt>
                <c:pt idx="823">
                  <c:v>42829.765711907741</c:v>
                </c:pt>
                <c:pt idx="824">
                  <c:v>28817.17783889352</c:v>
                </c:pt>
                <c:pt idx="825">
                  <c:v>23701.704930191248</c:v>
                </c:pt>
                <c:pt idx="826">
                  <c:v>28832.584646236843</c:v>
                </c:pt>
                <c:pt idx="827">
                  <c:v>30693.035436170845</c:v>
                </c:pt>
                <c:pt idx="828">
                  <c:v>33494.445235402934</c:v>
                </c:pt>
                <c:pt idx="829">
                  <c:v>31613.483748447172</c:v>
                </c:pt>
                <c:pt idx="830">
                  <c:v>27919.09944856503</c:v>
                </c:pt>
                <c:pt idx="831">
                  <c:v>44457.49975610173</c:v>
                </c:pt>
                <c:pt idx="832">
                  <c:v>38725.272321068893</c:v>
                </c:pt>
                <c:pt idx="833">
                  <c:v>30736.339947053973</c:v>
                </c:pt>
                <c:pt idx="834">
                  <c:v>36984.619210392179</c:v>
                </c:pt>
                <c:pt idx="835">
                  <c:v>32204.514775494099</c:v>
                </c:pt>
                <c:pt idx="836">
                  <c:v>31226.331429166894</c:v>
                </c:pt>
                <c:pt idx="837">
                  <c:v>30923.46353009405</c:v>
                </c:pt>
                <c:pt idx="838">
                  <c:v>32030.845373341472</c:v>
                </c:pt>
                <c:pt idx="839">
                  <c:v>20067.562848852649</c:v>
                </c:pt>
                <c:pt idx="840">
                  <c:v>45810.354702666824</c:v>
                </c:pt>
                <c:pt idx="841">
                  <c:v>19507.536664693806</c:v>
                </c:pt>
                <c:pt idx="842">
                  <c:v>31146.526232982505</c:v>
                </c:pt>
                <c:pt idx="843">
                  <c:v>40575.814290343042</c:v>
                </c:pt>
                <c:pt idx="844">
                  <c:v>60042.986878484597</c:v>
                </c:pt>
                <c:pt idx="845">
                  <c:v>30577.461073089522</c:v>
                </c:pt>
                <c:pt idx="846">
                  <c:v>18411.21913442752</c:v>
                </c:pt>
                <c:pt idx="847">
                  <c:v>35200.912017900875</c:v>
                </c:pt>
                <c:pt idx="848">
                  <c:v>63844.379437691132</c:v>
                </c:pt>
                <c:pt idx="849">
                  <c:v>53300.490297344353</c:v>
                </c:pt>
                <c:pt idx="850">
                  <c:v>22385.620413493532</c:v>
                </c:pt>
                <c:pt idx="851">
                  <c:v>30387.855564743651</c:v>
                </c:pt>
                <c:pt idx="852">
                  <c:v>27572.180442696736</c:v>
                </c:pt>
                <c:pt idx="853">
                  <c:v>35721.741673246201</c:v>
                </c:pt>
                <c:pt idx="854">
                  <c:v>35329.041458753709</c:v>
                </c:pt>
                <c:pt idx="855">
                  <c:v>35907.674688954794</c:v>
                </c:pt>
                <c:pt idx="856">
                  <c:v>19944.349607735014</c:v>
                </c:pt>
                <c:pt idx="857">
                  <c:v>40754.1326026241</c:v>
                </c:pt>
                <c:pt idx="858">
                  <c:v>53838.213684645474</c:v>
                </c:pt>
                <c:pt idx="859">
                  <c:v>49072.839717757175</c:v>
                </c:pt>
                <c:pt idx="860">
                  <c:v>49019.451414032679</c:v>
                </c:pt>
                <c:pt idx="861">
                  <c:v>37958.294658686696</c:v>
                </c:pt>
                <c:pt idx="862">
                  <c:v>25397.821422082554</c:v>
                </c:pt>
                <c:pt idx="863">
                  <c:v>38131.611482703593</c:v>
                </c:pt>
                <c:pt idx="864">
                  <c:v>42340.05645590827</c:v>
                </c:pt>
                <c:pt idx="865">
                  <c:v>54013.125462060671</c:v>
                </c:pt>
                <c:pt idx="866">
                  <c:v>41072.357045053024</c:v>
                </c:pt>
                <c:pt idx="867">
                  <c:v>41979.379831046768</c:v>
                </c:pt>
                <c:pt idx="868">
                  <c:v>40907.540797102476</c:v>
                </c:pt>
                <c:pt idx="869">
                  <c:v>56904.303164544624</c:v>
                </c:pt>
                <c:pt idx="870">
                  <c:v>16074.843001537629</c:v>
                </c:pt>
                <c:pt idx="871">
                  <c:v>16564.387727384703</c:v>
                </c:pt>
                <c:pt idx="872">
                  <c:v>30986.000723907549</c:v>
                </c:pt>
                <c:pt idx="873">
                  <c:v>29101.642212395789</c:v>
                </c:pt>
                <c:pt idx="874">
                  <c:v>32804.769327363174</c:v>
                </c:pt>
                <c:pt idx="875">
                  <c:v>33712.142042296393</c:v>
                </c:pt>
                <c:pt idx="876">
                  <c:v>29697.718641663298</c:v>
                </c:pt>
                <c:pt idx="877">
                  <c:v>28388.747879262155</c:v>
                </c:pt>
                <c:pt idx="878">
                  <c:v>31987.16444803022</c:v>
                </c:pt>
                <c:pt idx="879">
                  <c:v>37229.093006603929</c:v>
                </c:pt>
                <c:pt idx="880">
                  <c:v>29250.722204281265</c:v>
                </c:pt>
                <c:pt idx="881">
                  <c:v>32507.210023328153</c:v>
                </c:pt>
                <c:pt idx="882">
                  <c:v>27195.349080460415</c:v>
                </c:pt>
                <c:pt idx="883">
                  <c:v>51107.711489615351</c:v>
                </c:pt>
                <c:pt idx="884">
                  <c:v>43851.94712494946</c:v>
                </c:pt>
                <c:pt idx="885">
                  <c:v>26811.460117211274</c:v>
                </c:pt>
                <c:pt idx="886">
                  <c:v>30472.513834650199</c:v>
                </c:pt>
                <c:pt idx="887">
                  <c:v>38927.495309220467</c:v>
                </c:pt>
                <c:pt idx="888">
                  <c:v>27755.830403571104</c:v>
                </c:pt>
                <c:pt idx="889">
                  <c:v>44085.289471175645</c:v>
                </c:pt>
                <c:pt idx="890">
                  <c:v>42145.728413344594</c:v>
                </c:pt>
                <c:pt idx="891">
                  <c:v>40082.110206124591</c:v>
                </c:pt>
                <c:pt idx="892">
                  <c:v>37875.83110548454</c:v>
                </c:pt>
                <c:pt idx="893">
                  <c:v>29697.450420600893</c:v>
                </c:pt>
                <c:pt idx="894">
                  <c:v>39164.899010759393</c:v>
                </c:pt>
                <c:pt idx="895">
                  <c:v>47857.780239452164</c:v>
                </c:pt>
                <c:pt idx="896">
                  <c:v>39818.725125297111</c:v>
                </c:pt>
                <c:pt idx="897">
                  <c:v>40414.165351924683</c:v>
                </c:pt>
                <c:pt idx="898">
                  <c:v>42814.214037251979</c:v>
                </c:pt>
                <c:pt idx="899">
                  <c:v>27407.306389816898</c:v>
                </c:pt>
                <c:pt idx="900">
                  <c:v>37654.095864444847</c:v>
                </c:pt>
                <c:pt idx="901">
                  <c:v>48466.913530567603</c:v>
                </c:pt>
                <c:pt idx="902">
                  <c:v>27497.794220237629</c:v>
                </c:pt>
                <c:pt idx="903">
                  <c:v>57338.865627303734</c:v>
                </c:pt>
                <c:pt idx="904">
                  <c:v>27388.586686914547</c:v>
                </c:pt>
                <c:pt idx="905">
                  <c:v>24509.835200612571</c:v>
                </c:pt>
                <c:pt idx="906">
                  <c:v>32960.826526807956</c:v>
                </c:pt>
                <c:pt idx="907">
                  <c:v>34824.57876828056</c:v>
                </c:pt>
                <c:pt idx="908">
                  <c:v>33309.313431854091</c:v>
                </c:pt>
                <c:pt idx="909">
                  <c:v>34248.857299117561</c:v>
                </c:pt>
                <c:pt idx="910">
                  <c:v>28559.451101426712</c:v>
                </c:pt>
                <c:pt idx="911">
                  <c:v>26725.707311584862</c:v>
                </c:pt>
                <c:pt idx="912">
                  <c:v>27947.196066740347</c:v>
                </c:pt>
                <c:pt idx="913">
                  <c:v>65743.165495996189</c:v>
                </c:pt>
                <c:pt idx="914">
                  <c:v>32316.033665018644</c:v>
                </c:pt>
                <c:pt idx="915">
                  <c:v>23107.577876986645</c:v>
                </c:pt>
                <c:pt idx="916">
                  <c:v>27134.441543487366</c:v>
                </c:pt>
                <c:pt idx="917">
                  <c:v>34661.734857322685</c:v>
                </c:pt>
                <c:pt idx="918">
                  <c:v>51228.403341665195</c:v>
                </c:pt>
                <c:pt idx="919">
                  <c:v>33763.504872087848</c:v>
                </c:pt>
                <c:pt idx="920">
                  <c:v>31832.256061755892</c:v>
                </c:pt>
                <c:pt idx="921">
                  <c:v>36006.224660535292</c:v>
                </c:pt>
                <c:pt idx="922">
                  <c:v>29143.967846522355</c:v>
                </c:pt>
                <c:pt idx="923">
                  <c:v>43790.091458709001</c:v>
                </c:pt>
                <c:pt idx="924">
                  <c:v>27393.465229135138</c:v>
                </c:pt>
                <c:pt idx="925">
                  <c:v>44994.751443562745</c:v>
                </c:pt>
                <c:pt idx="926">
                  <c:v>31144.400119174694</c:v>
                </c:pt>
                <c:pt idx="927">
                  <c:v>34541.957704837449</c:v>
                </c:pt>
                <c:pt idx="928">
                  <c:v>28036.556829009627</c:v>
                </c:pt>
                <c:pt idx="929">
                  <c:v>42563.286950945519</c:v>
                </c:pt>
                <c:pt idx="930">
                  <c:v>46752.818895825221</c:v>
                </c:pt>
                <c:pt idx="931">
                  <c:v>31354.257888382737</c:v>
                </c:pt>
                <c:pt idx="932">
                  <c:v>36034.548643048838</c:v>
                </c:pt>
                <c:pt idx="933">
                  <c:v>24714.992086738996</c:v>
                </c:pt>
                <c:pt idx="934">
                  <c:v>38329.638323191575</c:v>
                </c:pt>
                <c:pt idx="935">
                  <c:v>31938.588572655208</c:v>
                </c:pt>
                <c:pt idx="936">
                  <c:v>28276.366265043616</c:v>
                </c:pt>
                <c:pt idx="937">
                  <c:v>35518.784601352898</c:v>
                </c:pt>
                <c:pt idx="938">
                  <c:v>34243.964566035662</c:v>
                </c:pt>
                <c:pt idx="939">
                  <c:v>32295.848807667579</c:v>
                </c:pt>
                <c:pt idx="940">
                  <c:v>41442.069153760371</c:v>
                </c:pt>
                <c:pt idx="941">
                  <c:v>23052.42917874804</c:v>
                </c:pt>
                <c:pt idx="942">
                  <c:v>29393.742530507479</c:v>
                </c:pt>
                <c:pt idx="943">
                  <c:v>51392.211513586415</c:v>
                </c:pt>
                <c:pt idx="944">
                  <c:v>57275.228971845667</c:v>
                </c:pt>
                <c:pt idx="945">
                  <c:v>21265.047766167649</c:v>
                </c:pt>
                <c:pt idx="946">
                  <c:v>31507.22515600625</c:v>
                </c:pt>
                <c:pt idx="947">
                  <c:v>25561.098133592146</c:v>
                </c:pt>
                <c:pt idx="948">
                  <c:v>44940.957420006307</c:v>
                </c:pt>
                <c:pt idx="949">
                  <c:v>18367.581681449017</c:v>
                </c:pt>
                <c:pt idx="950">
                  <c:v>19029.735830351485</c:v>
                </c:pt>
                <c:pt idx="951">
                  <c:v>30446.907174607528</c:v>
                </c:pt>
                <c:pt idx="952">
                  <c:v>44429.276973520966</c:v>
                </c:pt>
                <c:pt idx="953">
                  <c:v>40534.876488926486</c:v>
                </c:pt>
                <c:pt idx="954">
                  <c:v>32714.897995222884</c:v>
                </c:pt>
                <c:pt idx="955">
                  <c:v>41753.902868697172</c:v>
                </c:pt>
                <c:pt idx="956">
                  <c:v>36265.48416715052</c:v>
                </c:pt>
                <c:pt idx="957">
                  <c:v>15457.724461422578</c:v>
                </c:pt>
                <c:pt idx="958">
                  <c:v>25433.532594278557</c:v>
                </c:pt>
                <c:pt idx="959">
                  <c:v>34207.429701865891</c:v>
                </c:pt>
                <c:pt idx="960">
                  <c:v>28329.181104898496</c:v>
                </c:pt>
                <c:pt idx="961">
                  <c:v>29213.083641806057</c:v>
                </c:pt>
                <c:pt idx="962">
                  <c:v>42422.80943608583</c:v>
                </c:pt>
                <c:pt idx="963">
                  <c:v>39219.360927545567</c:v>
                </c:pt>
                <c:pt idx="964">
                  <c:v>42514.765426380283</c:v>
                </c:pt>
                <c:pt idx="965">
                  <c:v>27005.787407116703</c:v>
                </c:pt>
                <c:pt idx="966">
                  <c:v>38974.559197227951</c:v>
                </c:pt>
                <c:pt idx="967">
                  <c:v>31027.743696883736</c:v>
                </c:pt>
                <c:pt idx="968">
                  <c:v>24742.989214694324</c:v>
                </c:pt>
                <c:pt idx="969">
                  <c:v>32603.833671371081</c:v>
                </c:pt>
                <c:pt idx="970">
                  <c:v>26042.864511542997</c:v>
                </c:pt>
                <c:pt idx="971">
                  <c:v>31049.387482550774</c:v>
                </c:pt>
                <c:pt idx="972">
                  <c:v>31417.297600480146</c:v>
                </c:pt>
                <c:pt idx="973">
                  <c:v>30826.901236345409</c:v>
                </c:pt>
                <c:pt idx="974">
                  <c:v>22886.605572608809</c:v>
                </c:pt>
                <c:pt idx="975">
                  <c:v>16290.491666782109</c:v>
                </c:pt>
                <c:pt idx="976">
                  <c:v>34932.68168299659</c:v>
                </c:pt>
                <c:pt idx="977">
                  <c:v>34676.216211025014</c:v>
                </c:pt>
                <c:pt idx="978">
                  <c:v>29680.38521995968</c:v>
                </c:pt>
                <c:pt idx="979">
                  <c:v>40106.968566295705</c:v>
                </c:pt>
                <c:pt idx="980">
                  <c:v>39426.358556011095</c:v>
                </c:pt>
                <c:pt idx="981">
                  <c:v>36890.111561646132</c:v>
                </c:pt>
                <c:pt idx="982">
                  <c:v>36486.27986481112</c:v>
                </c:pt>
                <c:pt idx="983">
                  <c:v>29571.156532403453</c:v>
                </c:pt>
                <c:pt idx="984">
                  <c:v>33742.063799323274</c:v>
                </c:pt>
                <c:pt idx="985">
                  <c:v>31123.987476621987</c:v>
                </c:pt>
                <c:pt idx="986">
                  <c:v>24707.667773155335</c:v>
                </c:pt>
                <c:pt idx="987">
                  <c:v>46307.340189320865</c:v>
                </c:pt>
                <c:pt idx="988">
                  <c:v>44664.488169625445</c:v>
                </c:pt>
                <c:pt idx="989">
                  <c:v>27091.535758742939</c:v>
                </c:pt>
                <c:pt idx="990">
                  <c:v>51282.545752567465</c:v>
                </c:pt>
                <c:pt idx="991">
                  <c:v>33403.911775949564</c:v>
                </c:pt>
                <c:pt idx="992">
                  <c:v>30972.859151077966</c:v>
                </c:pt>
                <c:pt idx="993">
                  <c:v>21317.524774463862</c:v>
                </c:pt>
                <c:pt idx="994">
                  <c:v>36316.01072609437</c:v>
                </c:pt>
                <c:pt idx="995">
                  <c:v>21509.426882404878</c:v>
                </c:pt>
                <c:pt idx="996">
                  <c:v>41922.298063982453</c:v>
                </c:pt>
                <c:pt idx="997">
                  <c:v>35110.101448419766</c:v>
                </c:pt>
                <c:pt idx="998">
                  <c:v>21828.542367861563</c:v>
                </c:pt>
                <c:pt idx="999">
                  <c:v>29582.073134118975</c:v>
                </c:pt>
                <c:pt idx="1000">
                  <c:v>28877.961121375498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8-114F-99B3-9733D3EA545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PSA_Dashboard!$Q$11:$Q$12</c:f>
              <c:numCache>
                <c:formatCode>General</c:formatCode>
                <c:ptCount val="2"/>
                <c:pt idx="0">
                  <c:v>0</c:v>
                </c:pt>
                <c:pt idx="1">
                  <c:v>1.6</c:v>
                </c:pt>
              </c:numCache>
            </c:numRef>
          </c:xVal>
          <c:yVal>
            <c:numRef>
              <c:f>PSA_Dashboard!$R$11:$R$12</c:f>
              <c:numCache>
                <c:formatCode>General</c:formatCode>
                <c:ptCount val="2"/>
                <c:pt idx="0">
                  <c:v>0</c:v>
                </c:pt>
                <c:pt idx="1">
                  <c:v>48000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8-114F-99B3-9733D3EA5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525887"/>
        <c:axId val="1495528575"/>
      </c:scatterChart>
      <c:valAx>
        <c:axId val="149552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528575"/>
        <c:crosses val="autoZero"/>
        <c:crossBetween val="midCat"/>
      </c:valAx>
      <c:valAx>
        <c:axId val="149552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52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23</xdr:row>
      <xdr:rowOff>190337</xdr:rowOff>
    </xdr:from>
    <xdr:to>
      <xdr:col>10</xdr:col>
      <xdr:colOff>816428</xdr:colOff>
      <xdr:row>25</xdr:row>
      <xdr:rowOff>59871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C1D6DAD1-4AC6-14FB-2480-F6014509B155}"/>
            </a:ext>
          </a:extLst>
        </xdr:cNvPr>
        <xdr:cNvSpPr txBox="1"/>
      </xdr:nvSpPr>
      <xdr:spPr>
        <a:xfrm>
          <a:off x="4343399" y="5321137"/>
          <a:ext cx="6658429" cy="2759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altLang="zh-CN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Source: RRMM_Survival_Pipeline.R. Note the remediation of the Month 61 hazard cliff.</a:t>
          </a:r>
          <a:endParaRPr lang="zh-CN" altLang="en-US" sz="1100" i="1"/>
        </a:p>
      </xdr:txBody>
    </xdr:sp>
    <xdr:clientData/>
  </xdr:twoCellAnchor>
  <xdr:twoCellAnchor editAs="oneCell">
    <xdr:from>
      <xdr:col>3</xdr:col>
      <xdr:colOff>25400</xdr:colOff>
      <xdr:row>2</xdr:row>
      <xdr:rowOff>38100</xdr:rowOff>
    </xdr:from>
    <xdr:to>
      <xdr:col>12</xdr:col>
      <xdr:colOff>368300</xdr:colOff>
      <xdr:row>23</xdr:row>
      <xdr:rowOff>53340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69A2A5-793C-6C98-AA93-0F08F2ED3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2300" y="520700"/>
          <a:ext cx="7772400" cy="4663440"/>
        </a:xfrm>
        <a:prstGeom prst="rect">
          <a:avLst/>
        </a:prstGeom>
        <a:ln w="19050">
          <a:solidFill>
            <a:schemeClr val="bg2">
              <a:lumMod val="7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327527</xdr:colOff>
      <xdr:row>2</xdr:row>
      <xdr:rowOff>98925</xdr:rowOff>
    </xdr:from>
    <xdr:to>
      <xdr:col>13</xdr:col>
      <xdr:colOff>755316</xdr:colOff>
      <xdr:row>16</xdr:row>
      <xdr:rowOff>34757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BBE7728-1905-0350-4FD9-5DD093AEB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330868</xdr:colOff>
      <xdr:row>16</xdr:row>
      <xdr:rowOff>105610</xdr:rowOff>
    </xdr:from>
    <xdr:to>
      <xdr:col>13</xdr:col>
      <xdr:colOff>758657</xdr:colOff>
      <xdr:row>30</xdr:row>
      <xdr:rowOff>41442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2FC2682-17CA-1ED9-C93B-A2B0C8912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43DA48-9DE4-E441-8D7D-21C17A69799B}" autoFormatId="16" applyNumberFormats="0" applyBorderFormats="0" applyFontFormats="0" applyPatternFormats="0" applyAlignmentFormats="0" applyWidthHeightFormats="0">
  <queryTableRefresh preserveSortFilterLayout="0" nextId="6">
    <queryTableFields count="5">
      <queryTableField id="1" name="Month" tableColumnId="1"/>
      <queryTableField id="2" name="SoC_PFS" tableColumnId="2"/>
      <queryTableField id="3" name="SoC_OS" tableColumnId="3"/>
      <queryTableField id="4" name="Trt_PFS" tableColumnId="4"/>
      <queryTableField id="5" name="Trt_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8C1B6-174D-A048-BD20-08BBFCAC7B80}" name="RRMM_Model_Inputs" displayName="RRMM_Model_Inputs" ref="A1:E362" tableType="queryTable" totalsRowShown="0">
  <autoFilter ref="A1:E362" xr:uid="{5BE8C1B6-174D-A048-BD20-08BBFCAC7B80}"/>
  <tableColumns count="5">
    <tableColumn id="1" xr3:uid="{D88AFE3F-6AF6-2A4E-A0E3-B810CFF96165}" uniqueName="1" name="Month" queryTableFieldId="1"/>
    <tableColumn id="2" xr3:uid="{03AA2631-DB88-8B4B-B9A5-45568B4522DE}" uniqueName="2" name="SoC_PFS" queryTableFieldId="2"/>
    <tableColumn id="3" xr3:uid="{EE452ED4-DB2A-BF4A-B9F1-8C5250D4A3E0}" uniqueName="3" name="SoC_OS" queryTableFieldId="3"/>
    <tableColumn id="4" xr3:uid="{851B0C33-4484-5048-86E5-85C825FCF78E}" uniqueName="4" name="Trt_PFS" queryTableFieldId="4"/>
    <tableColumn id="5" xr3:uid="{15C96C1A-6F28-1E42-A253-6E7D1AEBDE39}" uniqueName="5" name="Trt_O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applewebdata://D77135D7-8BF1-4FC4-81DD-468DE879489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A978-769B-C943-9817-4F575E4FB8CC}">
  <dimension ref="A1:B19"/>
  <sheetViews>
    <sheetView showGridLines="0" zoomScaleNormal="100" workbookViewId="0">
      <selection activeCell="K32" sqref="K32"/>
    </sheetView>
  </sheetViews>
  <sheetFormatPr baseColWidth="10" defaultRowHeight="16"/>
  <cols>
    <col min="1" max="1" width="24.1640625" customWidth="1"/>
    <col min="2" max="2" width="22.83203125" customWidth="1"/>
  </cols>
  <sheetData>
    <row r="1" spans="1:2">
      <c r="A1" s="11"/>
      <c r="B1" s="11"/>
    </row>
    <row r="2" spans="1:2" ht="22" customHeight="1">
      <c r="A2" s="12" t="s">
        <v>105</v>
      </c>
      <c r="B2" s="13">
        <f>trt_QALY-soc_QALY</f>
        <v>0.64957294403560595</v>
      </c>
    </row>
    <row r="3" spans="1:2" ht="22" customHeight="1">
      <c r="A3" s="14" t="s">
        <v>106</v>
      </c>
      <c r="B3" s="15">
        <f>trt_COST-soc_COST</f>
        <v>34761.18249101632</v>
      </c>
    </row>
    <row r="4" spans="1:2" ht="22" customHeight="1">
      <c r="A4" s="16" t="s">
        <v>60</v>
      </c>
      <c r="B4" s="17">
        <f>B3/B2</f>
        <v>53513.901418146052</v>
      </c>
    </row>
    <row r="6" spans="1:2" ht="22" customHeight="1">
      <c r="A6" s="23" t="s">
        <v>163</v>
      </c>
      <c r="B6" s="24">
        <f>AVERAGE(PSA_Dashboard!C11:C1010)</f>
        <v>0.64655778910402928</v>
      </c>
    </row>
    <row r="7" spans="1:2" ht="22" customHeight="1">
      <c r="A7" s="25" t="s">
        <v>164</v>
      </c>
      <c r="B7" s="26">
        <f>AVERAGE(PSA_Dashboard!B11:B1010)</f>
        <v>34918.248296285048</v>
      </c>
    </row>
    <row r="8" spans="1:2" ht="22" customHeight="1">
      <c r="A8" s="27" t="s">
        <v>165</v>
      </c>
      <c r="B8" s="28">
        <f>B7/B6</f>
        <v>54006.384092399829</v>
      </c>
    </row>
    <row r="10" spans="1:2">
      <c r="A10" t="s">
        <v>70</v>
      </c>
    </row>
    <row r="11" spans="1:2">
      <c r="A11" t="s">
        <v>97</v>
      </c>
      <c r="B11" t="str" cm="1">
        <f t="array" ref="B11">IF(MIN(soc_OS_Prob-soc_PFS_Prob) &lt; 0, "🚩 Biological Error", "✅ Valid")</f>
        <v>✅ Valid</v>
      </c>
    </row>
    <row r="12" spans="1:2">
      <c r="A12" t="s">
        <v>98</v>
      </c>
      <c r="B12" t="str" cm="1">
        <f t="array" ref="B12">IF(MIN(trt_OS_Prob-trt_PFS_Prob) &lt; 0, "🚩 Biological Error", "✅ Valid")</f>
        <v>✅ Valid</v>
      </c>
    </row>
    <row r="13" spans="1:2">
      <c r="A13" t="s">
        <v>104</v>
      </c>
      <c r="B13" t="str">
        <f>IF(AND(MIN(soc_engine!R2:R362) &gt; 0.9999, MAX(soc_engine!R2:R362) &lt; 1.0001), "✅ Balanced", "🚩 Balance Error")</f>
        <v>✅ Balanced</v>
      </c>
    </row>
    <row r="14" spans="1:2">
      <c r="A14" t="s">
        <v>103</v>
      </c>
      <c r="B14" t="str">
        <f>IF(AND(MIN(trt_engine!R2:R362) &gt; 0.9999, MAX(trt_engine!R2:R362) &lt; 1.0001), "✅ Balanced", "🚩 Balance Error")</f>
        <v>✅ Balanced</v>
      </c>
    </row>
    <row r="15" spans="1:2">
      <c r="A15" t="s">
        <v>107</v>
      </c>
      <c r="B15" t="str">
        <f>IF(B4 &lt;= 30000, "✅ Cost-Effective", "❌ Not Cost-Effective")</f>
        <v>❌ Not Cost-Effective</v>
      </c>
    </row>
    <row r="17" spans="1:2">
      <c r="A17" t="s">
        <v>108</v>
      </c>
      <c r="B17" s="8">
        <f>trt_lst_price*(1-trt_pas_disc)</f>
        <v>1050.0000000000002</v>
      </c>
    </row>
    <row r="18" spans="1:2">
      <c r="A18" t="s">
        <v>109</v>
      </c>
      <c r="B18" s="8">
        <v>0.49159999999999998</v>
      </c>
    </row>
    <row r="19" spans="1:2">
      <c r="A19" t="s">
        <v>110</v>
      </c>
      <c r="B19" s="8">
        <v>60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F24A-58B8-644D-8B18-9B6FCEE4FED8}">
  <dimension ref="A1:R1002"/>
  <sheetViews>
    <sheetView tabSelected="1" zoomScale="170" zoomScaleNormal="170" workbookViewId="0">
      <selection activeCell="P5" sqref="P5"/>
    </sheetView>
  </sheetViews>
  <sheetFormatPr baseColWidth="10" defaultRowHeight="16"/>
  <cols>
    <col min="4" max="4" width="16.6640625" customWidth="1"/>
    <col min="7" max="7" width="12.33203125" customWidth="1"/>
  </cols>
  <sheetData>
    <row r="1" spans="1:18">
      <c r="A1" s="2"/>
      <c r="B1" t="s">
        <v>133</v>
      </c>
      <c r="C1" s="2" t="s">
        <v>134</v>
      </c>
      <c r="D1" t="s">
        <v>111</v>
      </c>
      <c r="E1" s="2" t="s">
        <v>112</v>
      </c>
      <c r="F1" s="2"/>
      <c r="G1" s="2" t="s">
        <v>113</v>
      </c>
      <c r="H1" s="2" t="s">
        <v>114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>
        <v>32110.45637198694</v>
      </c>
      <c r="C2" s="2">
        <v>0.62465221787088132</v>
      </c>
      <c r="D2">
        <v>-13370.8898358605</v>
      </c>
      <c r="E2" s="2">
        <f>AVERAGE($D:$D)</f>
        <v>-15516.684406663764</v>
      </c>
      <c r="F2" s="2"/>
      <c r="G2" s="2">
        <v>0</v>
      </c>
      <c r="H2" s="2" cm="1">
        <f t="array" ref="H2">SUMPRODUCT(--(($C$2:$C$1001 * G2 - $B$2:$B$1001) &gt; 0)) / 1000</f>
        <v>0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>
        <v>1</v>
      </c>
      <c r="B3">
        <v>26010.405988175946</v>
      </c>
      <c r="C3" s="2">
        <v>0.76014420212999245</v>
      </c>
      <c r="D3">
        <v>-3206.0799242761714</v>
      </c>
      <c r="E3" s="2"/>
      <c r="F3" s="2"/>
      <c r="G3" s="2">
        <v>5000</v>
      </c>
      <c r="H3" s="2" cm="1">
        <f t="array" ref="H3">SUMPRODUCT(--(($C$2:$C$1001 * G3 - $B$2:$B$1001) &gt; 0)) / 1000</f>
        <v>0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>
        <v>2</v>
      </c>
      <c r="B4">
        <v>43703.060925689999</v>
      </c>
      <c r="C4" s="2">
        <v>0.51844324214942494</v>
      </c>
      <c r="D4">
        <v>-28149.763661207253</v>
      </c>
      <c r="E4" s="2"/>
      <c r="F4" s="2"/>
      <c r="G4" s="2">
        <v>10000</v>
      </c>
      <c r="H4" s="2" cm="1">
        <f t="array" ref="H4">SUMPRODUCT(--(($C$2:$C$1001 * G4 - $B$2:$B$1001) &gt; 0)) / 1000</f>
        <v>0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>
        <v>3</v>
      </c>
      <c r="B5">
        <v>30306.469284728213</v>
      </c>
      <c r="C5" s="2">
        <v>0.62061569023088992</v>
      </c>
      <c r="D5">
        <v>-11687.998577801514</v>
      </c>
      <c r="E5" s="2"/>
      <c r="F5" s="2"/>
      <c r="G5" s="2">
        <v>15000</v>
      </c>
      <c r="H5" s="2" cm="1">
        <f t="array" ref="H5">SUMPRODUCT(--(($C$2:$C$1001 * G5 - $B$2:$B$1001) &gt; 0)) / 1000</f>
        <v>0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>
        <v>4</v>
      </c>
      <c r="B6">
        <v>46723.6807703995</v>
      </c>
      <c r="C6" s="2">
        <v>0.80118704233104499</v>
      </c>
      <c r="D6">
        <v>-22688.069500468151</v>
      </c>
      <c r="E6" s="2"/>
      <c r="F6" s="2"/>
      <c r="G6" s="2">
        <v>20000</v>
      </c>
      <c r="H6" s="2" cm="1">
        <f t="array" ref="H6">SUMPRODUCT(--(($C$2:$C$1001 * G6 - $B$2:$B$1001) &gt; 0)) / 1000</f>
        <v>3.0000000000000001E-3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>
        <v>5</v>
      </c>
      <c r="B7">
        <v>25828.547092303139</v>
      </c>
      <c r="C7" s="2">
        <v>0.5207110721025332</v>
      </c>
      <c r="D7">
        <v>-10207.214929227142</v>
      </c>
      <c r="E7" s="2"/>
      <c r="F7" s="2"/>
      <c r="G7" s="2">
        <v>25000</v>
      </c>
      <c r="H7" s="2" cm="1">
        <f t="array" ref="H7">SUMPRODUCT(--(($C$2:$C$1001 * G7 - $B$2:$B$1001) &gt; 0)) / 1000</f>
        <v>1.6E-2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>
        <v>6</v>
      </c>
      <c r="B8">
        <v>37826.52260740874</v>
      </c>
      <c r="C8" s="2">
        <v>0.4707352965774676</v>
      </c>
      <c r="D8">
        <v>-23704.46371008471</v>
      </c>
      <c r="E8" s="2"/>
      <c r="F8" s="2"/>
      <c r="G8" s="2">
        <v>30000</v>
      </c>
      <c r="H8" s="2" cm="1">
        <f t="array" ref="H8">SUMPRODUCT(--(($C$2:$C$1001 * G8 - $B$2:$B$1001) &gt; 0)) / 1000</f>
        <v>0.05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>
        <v>7</v>
      </c>
      <c r="B9">
        <v>27013.086075981999</v>
      </c>
      <c r="C9" s="2">
        <v>0.44702486080067705</v>
      </c>
      <c r="D9">
        <v>-13602.340251961687</v>
      </c>
      <c r="E9" s="2"/>
      <c r="F9" s="2"/>
      <c r="G9" s="2">
        <v>35000</v>
      </c>
      <c r="H9" s="2" cm="1">
        <f t="array" ref="H9">SUMPRODUCT(--(($C$2:$C$1001 * G9 - $B$2:$B$1001) &gt; 0)) / 1000</f>
        <v>0.113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>
        <v>8</v>
      </c>
      <c r="B10">
        <v>31543.571335309425</v>
      </c>
      <c r="C10" s="2">
        <v>0.77672689448551413</v>
      </c>
      <c r="D10">
        <v>-8241.7645007440005</v>
      </c>
      <c r="E10" s="2"/>
      <c r="F10" s="2"/>
      <c r="G10" s="2">
        <v>40000</v>
      </c>
      <c r="H10" s="2" cm="1">
        <f t="array" ref="H10">SUMPRODUCT(--(($C$2:$C$1001 * G10 - $B$2:$B$1001) &gt; 0)) / 1000</f>
        <v>0.182</v>
      </c>
      <c r="I10" s="2"/>
      <c r="J10" s="2"/>
      <c r="K10" s="2"/>
      <c r="L10" s="2"/>
      <c r="M10" s="2"/>
      <c r="N10" s="2"/>
      <c r="O10" s="2"/>
      <c r="P10" s="2"/>
      <c r="Q10" s="2" t="s">
        <v>115</v>
      </c>
      <c r="R10" s="2" t="s">
        <v>116</v>
      </c>
    </row>
    <row r="11" spans="1:18">
      <c r="A11" s="2">
        <v>9</v>
      </c>
      <c r="B11">
        <v>45916.71017627215</v>
      </c>
      <c r="C11" s="2">
        <v>0.89730802722322722</v>
      </c>
      <c r="D11">
        <v>-18997.469359575334</v>
      </c>
      <c r="E11" s="2"/>
      <c r="F11" s="2"/>
      <c r="G11" s="2">
        <v>45000</v>
      </c>
      <c r="H11" s="2" cm="1">
        <f t="array" ref="H11">SUMPRODUCT(--(($C$2:$C$1001 * G11 - $B$2:$B$1001) &gt; 0)) / 1000</f>
        <v>0.29199999999999998</v>
      </c>
      <c r="I11" s="2"/>
      <c r="J11" s="2"/>
      <c r="K11" s="2"/>
      <c r="L11" s="2"/>
      <c r="M11" s="2"/>
      <c r="N11" s="2"/>
      <c r="O11" s="2"/>
      <c r="P11" s="2"/>
      <c r="Q11" s="2">
        <v>0</v>
      </c>
      <c r="R11" s="2">
        <v>0</v>
      </c>
    </row>
    <row r="12" spans="1:18">
      <c r="A12" s="2">
        <v>10</v>
      </c>
      <c r="B12">
        <v>29247.902788109895</v>
      </c>
      <c r="C12" s="2">
        <v>0.90367432618734234</v>
      </c>
      <c r="D12">
        <v>-2137.6730024896242</v>
      </c>
      <c r="E12" s="2"/>
      <c r="F12" s="2"/>
      <c r="G12" s="2">
        <v>50000</v>
      </c>
      <c r="H12" s="2" cm="1">
        <f t="array" ref="H12">SUMPRODUCT(--(($C$2:$C$1001 * G12 - $B$2:$B$1001) &gt; 0)) / 1000</f>
        <v>0.40600000000000003</v>
      </c>
      <c r="I12" s="2"/>
      <c r="J12" s="2"/>
      <c r="K12" s="2"/>
      <c r="L12" s="2"/>
      <c r="M12" s="2"/>
      <c r="N12" s="2"/>
      <c r="O12" s="2"/>
      <c r="P12" s="2"/>
      <c r="Q12" s="2">
        <v>1.6</v>
      </c>
      <c r="R12" s="2">
        <v>48000</v>
      </c>
    </row>
    <row r="13" spans="1:18">
      <c r="A13" s="2">
        <v>11</v>
      </c>
      <c r="B13">
        <v>20698.447806006487</v>
      </c>
      <c r="C13" s="2">
        <v>0.45228897506245747</v>
      </c>
      <c r="D13">
        <v>-7129.778554132763</v>
      </c>
      <c r="E13" s="2"/>
      <c r="F13" s="2"/>
      <c r="G13" s="2">
        <v>55000</v>
      </c>
      <c r="H13" s="2" cm="1">
        <f t="array" ref="H13">SUMPRODUCT(--(($C$2:$C$1001 * G13 - $B$2:$B$1001) &gt; 0)) / 1000</f>
        <v>0.52300000000000002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>
        <v>12</v>
      </c>
      <c r="B14">
        <v>29667.093469831838</v>
      </c>
      <c r="C14" s="2">
        <v>0.67115562550816299</v>
      </c>
      <c r="D14">
        <v>-9532.4247045869488</v>
      </c>
      <c r="E14" s="2"/>
      <c r="F14" s="2"/>
      <c r="G14" s="2">
        <v>60000</v>
      </c>
      <c r="H14" s="2" cm="1">
        <f t="array" ref="H14">SUMPRODUCT(--(($C$2:$C$1001 * G14 - $B$2:$B$1001) &gt; 0)) / 1000</f>
        <v>0.63300000000000001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>
        <v>13</v>
      </c>
      <c r="B15">
        <v>33179.344119911148</v>
      </c>
      <c r="C15" s="2">
        <v>0.98684000846937114</v>
      </c>
      <c r="D15">
        <v>-3574.143865830014</v>
      </c>
      <c r="E15" s="2"/>
      <c r="F15" s="2"/>
      <c r="G15" s="2">
        <v>65000</v>
      </c>
      <c r="H15" s="2" cm="1">
        <f t="array" ref="H15">SUMPRODUCT(--(($C$2:$C$1001 * G15 - $B$2:$B$1001) &gt; 0)) / 1000</f>
        <v>0.69899999999999995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>
        <v>14</v>
      </c>
      <c r="B16">
        <v>47888.218004434159</v>
      </c>
      <c r="C16" s="2">
        <v>1.1800841918044997</v>
      </c>
      <c r="D16">
        <v>-12485.692250299166</v>
      </c>
      <c r="E16" s="2"/>
      <c r="F16" s="2"/>
      <c r="G16" s="2">
        <v>70000</v>
      </c>
      <c r="H16" s="2" cm="1">
        <f t="array" ref="H16">SUMPRODUCT(--(($C$2:$C$1001 * G16 - $B$2:$B$1001) &gt; 0)) / 1000</f>
        <v>0.76400000000000001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>
        <v>15</v>
      </c>
      <c r="B17">
        <v>36183.479116749186</v>
      </c>
      <c r="C17" s="2">
        <v>0.77155360753650948</v>
      </c>
      <c r="D17">
        <v>-13036.870890653903</v>
      </c>
      <c r="E17" s="2"/>
      <c r="F17" s="2"/>
      <c r="G17" s="2">
        <v>75000</v>
      </c>
      <c r="H17" s="2" cm="1">
        <f t="array" ref="H17">SUMPRODUCT(--(($C$2:$C$1001 * G17 - $B$2:$B$1001) &gt; 0)) / 1000</f>
        <v>0.81899999999999995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>
        <v>16</v>
      </c>
      <c r="B18">
        <v>34387.946491221053</v>
      </c>
      <c r="C18" s="2">
        <v>0.57827800734386137</v>
      </c>
      <c r="D18">
        <v>-17039.606270905213</v>
      </c>
      <c r="E18" s="2"/>
      <c r="F18" s="2"/>
      <c r="G18" s="2">
        <v>80000</v>
      </c>
      <c r="H18" s="2" cm="1">
        <f t="array" ref="H18">SUMPRODUCT(--(($C$2:$C$1001 * G18 - $B$2:$B$1001) &gt; 0)) / 1000</f>
        <v>0.85899999999999999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>
        <v>17</v>
      </c>
      <c r="B19">
        <v>40638.347552805935</v>
      </c>
      <c r="C19" s="2">
        <v>0.73767677439529789</v>
      </c>
      <c r="D19">
        <v>-18508.044320947</v>
      </c>
      <c r="E19" s="2"/>
      <c r="F19" s="2"/>
      <c r="G19" s="2">
        <v>85000</v>
      </c>
      <c r="H19" s="2" cm="1">
        <f t="array" ref="H19">SUMPRODUCT(--(($C$2:$C$1001 * G19 - $B$2:$B$1001) &gt; 0)) / 1000</f>
        <v>0.88200000000000001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>
        <v>18</v>
      </c>
      <c r="B20">
        <v>23897.689712206833</v>
      </c>
      <c r="C20" s="2">
        <v>0.35859620032826522</v>
      </c>
      <c r="D20">
        <v>-13139.803702358877</v>
      </c>
      <c r="E20" s="2"/>
      <c r="F20" s="2"/>
      <c r="G20" s="2">
        <v>90000</v>
      </c>
      <c r="H20" s="2" cm="1">
        <f t="array" ref="H20">SUMPRODUCT(--(($C$2:$C$1001 * G20 - $B$2:$B$1001) &gt; 0)) / 1000</f>
        <v>0.89900000000000002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>
        <v>19</v>
      </c>
      <c r="B21">
        <v>28157.725968866645</v>
      </c>
      <c r="C21" s="2">
        <v>0.71740128905665612</v>
      </c>
      <c r="D21">
        <v>-6635.6872971669618</v>
      </c>
      <c r="E21" s="2"/>
      <c r="F21" s="2"/>
      <c r="G21" s="2">
        <v>95000</v>
      </c>
      <c r="H21" s="2" cm="1">
        <f t="array" ref="H21">SUMPRODUCT(--(($C$2:$C$1001 * G21 - $B$2:$B$1001) &gt; 0)) / 1000</f>
        <v>0.92800000000000005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>
        <v>20</v>
      </c>
      <c r="B22">
        <v>21655.458676948656</v>
      </c>
      <c r="C22" s="2">
        <v>0.42012464664060789</v>
      </c>
      <c r="D22">
        <v>-9051.719277730419</v>
      </c>
      <c r="E22" s="2"/>
      <c r="F22" s="2"/>
      <c r="G22" s="2">
        <v>100000</v>
      </c>
      <c r="H22" s="2" cm="1">
        <f t="array" ref="H22">SUMPRODUCT(--(($C$2:$C$1001 * G22 - $B$2:$B$1001) &gt; 0)) / 1000</f>
        <v>0.94199999999999995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>
        <v>21</v>
      </c>
      <c r="B23">
        <v>41372.199237134882</v>
      </c>
      <c r="C23" s="2">
        <v>1.004767193600594</v>
      </c>
      <c r="D23">
        <v>-11229.183429117063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>
        <v>22</v>
      </c>
      <c r="B24">
        <v>32071.181342182332</v>
      </c>
      <c r="C24" s="2">
        <v>0.5495763224447987</v>
      </c>
      <c r="D24">
        <v>-15583.891668838369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>
        <v>23</v>
      </c>
      <c r="B25">
        <v>26411.86920213695</v>
      </c>
      <c r="C25" s="2">
        <v>0.51533409357446724</v>
      </c>
      <c r="D25">
        <v>-10951.846394902932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>
        <v>24</v>
      </c>
      <c r="B26">
        <v>28237.208099579737</v>
      </c>
      <c r="C26" s="2">
        <v>0.69537586746973878</v>
      </c>
      <c r="D26">
        <v>-7375.9320754875735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>
        <v>25</v>
      </c>
      <c r="B27">
        <v>26378.326076660043</v>
      </c>
      <c r="C27" s="2">
        <v>0.60541752554345263</v>
      </c>
      <c r="D27">
        <v>-8215.8003103564661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>
        <v>26</v>
      </c>
      <c r="B28">
        <v>22310.738092183805</v>
      </c>
      <c r="C28" s="2">
        <v>0.57544450769873623</v>
      </c>
      <c r="D28">
        <v>-5047.4028612217189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>
        <v>27</v>
      </c>
      <c r="B29">
        <v>25906.182849075325</v>
      </c>
      <c r="C29" s="2">
        <v>0.82663021959179006</v>
      </c>
      <c r="D29">
        <v>-1107.2762613216219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>
        <v>28</v>
      </c>
      <c r="B30">
        <v>39293.935630852196</v>
      </c>
      <c r="C30" s="2">
        <v>0.34772411866818431</v>
      </c>
      <c r="D30">
        <v>-28862.212070806665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>
        <v>29</v>
      </c>
      <c r="B31">
        <v>20242.27315270478</v>
      </c>
      <c r="C31" s="2">
        <v>0.54723464960402901</v>
      </c>
      <c r="D31">
        <v>-3825.2336645839096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>
        <v>30</v>
      </c>
      <c r="B32">
        <v>37516.389157583944</v>
      </c>
      <c r="C32" s="2">
        <v>0.70574443939070242</v>
      </c>
      <c r="D32">
        <v>-16344.055975862873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>
        <v>31</v>
      </c>
      <c r="B33">
        <v>33184.83147957598</v>
      </c>
      <c r="C33" s="2">
        <v>0.49260455597216546</v>
      </c>
      <c r="D33">
        <v>-18406.694800411016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>
        <v>32</v>
      </c>
      <c r="B34">
        <v>30041.918743961964</v>
      </c>
      <c r="C34" s="2">
        <v>0.86411859723363049</v>
      </c>
      <c r="D34">
        <v>-4118.3608269530487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>
        <v>33</v>
      </c>
      <c r="B35">
        <v>50702.186667239133</v>
      </c>
      <c r="C35" s="2">
        <v>0.70755010903725024</v>
      </c>
      <c r="D35">
        <v>-29475.683396121625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>
        <v>34</v>
      </c>
      <c r="B36">
        <v>17081.581649848958</v>
      </c>
      <c r="C36" s="2">
        <v>0.39026261842325627</v>
      </c>
      <c r="D36">
        <v>-5373.7030971512704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>
        <v>35</v>
      </c>
      <c r="B37">
        <v>46786.813936883562</v>
      </c>
      <c r="C37" s="2">
        <v>0.79142107083704816</v>
      </c>
      <c r="D37">
        <v>-23044.181811772116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>
        <v>36</v>
      </c>
      <c r="B38">
        <v>31136.437983300028</v>
      </c>
      <c r="C38" s="2">
        <v>0.61788165000872275</v>
      </c>
      <c r="D38">
        <v>-12599.988483038345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>
        <v>37</v>
      </c>
      <c r="B39">
        <v>29566.761119984658</v>
      </c>
      <c r="C39" s="2">
        <v>0.55673657103472829</v>
      </c>
      <c r="D39">
        <v>-12864.663988942808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>
        <v>38</v>
      </c>
      <c r="B40">
        <v>30861.681421189212</v>
      </c>
      <c r="C40" s="2">
        <v>0.51465453403443084</v>
      </c>
      <c r="D40">
        <v>-15422.045400156287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>
        <v>39</v>
      </c>
      <c r="B41">
        <v>42120.978525564176</v>
      </c>
      <c r="C41" s="2">
        <v>0.78750047203953533</v>
      </c>
      <c r="D41">
        <v>-18495.964364378116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>
        <v>40</v>
      </c>
      <c r="B42">
        <v>25736.197713019683</v>
      </c>
      <c r="C42" s="2">
        <v>0.60659484829918053</v>
      </c>
      <c r="D42">
        <v>-7538.3522640442679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>
        <v>41</v>
      </c>
      <c r="B43">
        <v>28146.920287753834</v>
      </c>
      <c r="C43" s="2">
        <v>0.87244196047944622</v>
      </c>
      <c r="D43">
        <v>-1973.6614733704482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>
        <v>42</v>
      </c>
      <c r="B44">
        <v>29387.828175556053</v>
      </c>
      <c r="C44" s="2">
        <v>0.56971038056433887</v>
      </c>
      <c r="D44">
        <v>-12296.516758625887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>
        <v>43</v>
      </c>
      <c r="B45">
        <v>27111.55357106834</v>
      </c>
      <c r="C45" s="2">
        <v>0.87737861919121163</v>
      </c>
      <c r="D45">
        <v>-790.19499533199269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>
        <v>44</v>
      </c>
      <c r="B46">
        <v>53472.247026773599</v>
      </c>
      <c r="C46" s="2">
        <v>0.87916304781941035</v>
      </c>
      <c r="D46">
        <v>-27097.355592191288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>
        <v>45</v>
      </c>
      <c r="B47">
        <v>34227.849834868575</v>
      </c>
      <c r="C47" s="2">
        <v>0.67187799334035803</v>
      </c>
      <c r="D47">
        <v>-14071.510034657833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>
        <v>46</v>
      </c>
      <c r="B48">
        <v>42499.066464053089</v>
      </c>
      <c r="C48" s="2">
        <v>0.82386417626193942</v>
      </c>
      <c r="D48">
        <v>-17783.141176194906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>
        <v>47</v>
      </c>
      <c r="B49">
        <v>33102.490316486452</v>
      </c>
      <c r="C49" s="2">
        <v>0.50169526026449085</v>
      </c>
      <c r="D49">
        <v>-18051.632508551724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>
        <v>48</v>
      </c>
      <c r="B50">
        <v>44684.25602614777</v>
      </c>
      <c r="C50" s="2">
        <v>0.67738911530374546</v>
      </c>
      <c r="D50">
        <v>-24362.582567035406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>
        <v>49</v>
      </c>
      <c r="B51">
        <v>33185.813458929646</v>
      </c>
      <c r="C51" s="2">
        <v>0.3703927954744306</v>
      </c>
      <c r="D51">
        <v>-22074.029594696727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>
        <v>50</v>
      </c>
      <c r="B52">
        <v>39009.401752192804</v>
      </c>
      <c r="C52" s="2">
        <v>0.76763682243227627</v>
      </c>
      <c r="D52">
        <v>-15980.297079224514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>
        <v>51</v>
      </c>
      <c r="B53">
        <v>40415.388237383268</v>
      </c>
      <c r="C53" s="2">
        <v>0.57050456242451819</v>
      </c>
      <c r="D53">
        <v>-23300.25136464772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>
        <v>52</v>
      </c>
      <c r="B54">
        <v>21374.439772497069</v>
      </c>
      <c r="C54" s="2">
        <v>0.77180818032772014</v>
      </c>
      <c r="D54">
        <v>1779.8056373345353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>
        <v>53</v>
      </c>
      <c r="B55">
        <v>35289.47563505813</v>
      </c>
      <c r="C55" s="2">
        <v>0.58169832043250591</v>
      </c>
      <c r="D55">
        <v>-17838.526022082951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>
        <v>54</v>
      </c>
      <c r="B56">
        <v>30639.15645750019</v>
      </c>
      <c r="C56" s="2">
        <v>0.25944996204790982</v>
      </c>
      <c r="D56">
        <v>-22855.657596062898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>
        <v>55</v>
      </c>
      <c r="B57">
        <v>24384.565903576426</v>
      </c>
      <c r="C57" s="2">
        <v>0.344371153084996</v>
      </c>
      <c r="D57">
        <v>-14053.431311026547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>
        <v>56</v>
      </c>
      <c r="B58">
        <v>44707.56338114672</v>
      </c>
      <c r="C58" s="2">
        <v>0.76218371094150461</v>
      </c>
      <c r="D58">
        <v>-21842.052052901581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>
        <v>57</v>
      </c>
      <c r="B59">
        <v>23010.482294819449</v>
      </c>
      <c r="C59" s="2">
        <v>0.52282509997634108</v>
      </c>
      <c r="D59">
        <v>-7325.729295529216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>
        <v>58</v>
      </c>
      <c r="B60">
        <v>19639.829939615127</v>
      </c>
      <c r="C60" s="2">
        <v>0.75217603028908053</v>
      </c>
      <c r="D60">
        <v>2925.4509690572886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>
        <v>59</v>
      </c>
      <c r="B61">
        <v>52394.098412892032</v>
      </c>
      <c r="C61" s="2">
        <v>0.86234976824409038</v>
      </c>
      <c r="D61">
        <v>-26523.605365569321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>
        <v>60</v>
      </c>
      <c r="B62">
        <v>24850.17102115642</v>
      </c>
      <c r="C62" s="2">
        <v>0.51095216892648554</v>
      </c>
      <c r="D62">
        <v>-9521.6059533618536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>
        <v>61</v>
      </c>
      <c r="B63">
        <v>31681.720100445382</v>
      </c>
      <c r="C63" s="2">
        <v>0.4825836371290213</v>
      </c>
      <c r="D63">
        <v>-17204.210986574741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>
        <v>62</v>
      </c>
      <c r="B64">
        <v>42147.796934641032</v>
      </c>
      <c r="C64" s="2">
        <v>0.73548867317315891</v>
      </c>
      <c r="D64">
        <v>-20083.136739446265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>
        <v>63</v>
      </c>
      <c r="B65">
        <v>18793.694891219748</v>
      </c>
      <c r="C65" s="2">
        <v>0.77621078310286551</v>
      </c>
      <c r="D65">
        <v>4492.6286018662177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>
        <v>64</v>
      </c>
      <c r="B66">
        <v>37603.367601881269</v>
      </c>
      <c r="C66" s="2">
        <v>0.52896176150461627</v>
      </c>
      <c r="D66">
        <v>-21734.514756742781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>
        <v>65</v>
      </c>
      <c r="B67">
        <v>31750.965803026389</v>
      </c>
      <c r="C67" s="2">
        <v>1.1443272472217381</v>
      </c>
      <c r="D67">
        <v>2578.8516136257531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>
        <v>66</v>
      </c>
      <c r="B68">
        <v>33123.966499520298</v>
      </c>
      <c r="C68" s="2">
        <v>0.97456333036151466</v>
      </c>
      <c r="D68">
        <v>-3887.0665886748575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>
        <v>67</v>
      </c>
      <c r="B69">
        <v>24032.887508537235</v>
      </c>
      <c r="C69" s="2">
        <v>0.76956924227768542</v>
      </c>
      <c r="D69">
        <v>-945.81024020667246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>
        <v>68</v>
      </c>
      <c r="B70">
        <v>25557.462538867228</v>
      </c>
      <c r="C70" s="2">
        <v>0.72420165376034551</v>
      </c>
      <c r="D70">
        <v>-3831.4129260568625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>
      <c r="A71" s="2">
        <v>69</v>
      </c>
      <c r="B71">
        <v>40741.652387147798</v>
      </c>
      <c r="C71" s="2">
        <v>0.45511965287515221</v>
      </c>
      <c r="D71">
        <v>-27088.062800893233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2">
        <v>70</v>
      </c>
      <c r="B72">
        <v>54497.613424699928</v>
      </c>
      <c r="C72" s="2">
        <v>0.60389401250910058</v>
      </c>
      <c r="D72">
        <v>-36380.793049426909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>
      <c r="A73" s="2">
        <v>71</v>
      </c>
      <c r="B73">
        <v>35245.819173562842</v>
      </c>
      <c r="C73" s="2">
        <v>0.38082464961353613</v>
      </c>
      <c r="D73">
        <v>-23821.079685156757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2">
        <v>72</v>
      </c>
      <c r="B74">
        <v>41286.360202305244</v>
      </c>
      <c r="C74" s="2">
        <v>0.4481396198390748</v>
      </c>
      <c r="D74">
        <v>-27842.171607133001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2">
        <v>73</v>
      </c>
      <c r="B75">
        <v>30260.017669769491</v>
      </c>
      <c r="C75" s="2">
        <v>0.85128301531522976</v>
      </c>
      <c r="D75">
        <v>-4721.5272103125972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2">
        <v>74</v>
      </c>
      <c r="B76">
        <v>19976.027949049691</v>
      </c>
      <c r="C76" s="2">
        <v>0.86656344712589961</v>
      </c>
      <c r="D76">
        <v>6020.8754647272981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2">
        <v>75</v>
      </c>
      <c r="B77">
        <v>39738.280207887692</v>
      </c>
      <c r="C77" s="2">
        <v>0.77471111170947915</v>
      </c>
      <c r="D77">
        <v>-16496.946856603317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2">
        <v>76</v>
      </c>
      <c r="B78">
        <v>20632.153789326483</v>
      </c>
      <c r="C78" s="2">
        <v>0.41558505164205406</v>
      </c>
      <c r="D78">
        <v>-8164.6022400648617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2">
        <v>77</v>
      </c>
      <c r="B79">
        <v>26182.878726104267</v>
      </c>
      <c r="C79" s="2">
        <v>0.69105734490129711</v>
      </c>
      <c r="D79">
        <v>-5451.1583790653531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2">
        <v>78</v>
      </c>
      <c r="B80">
        <v>44108.0134841041</v>
      </c>
      <c r="C80" s="2">
        <v>0.74575931169442167</v>
      </c>
      <c r="D80">
        <v>-21735.23413327145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2">
        <v>79</v>
      </c>
      <c r="B81">
        <v>32494.726035101987</v>
      </c>
      <c r="C81" s="2">
        <v>0.51748372257807573</v>
      </c>
      <c r="D81">
        <v>-16970.214357759716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2">
        <v>80</v>
      </c>
      <c r="B82">
        <v>36842.225737294677</v>
      </c>
      <c r="C82" s="2">
        <v>0.73265094098631001</v>
      </c>
      <c r="D82">
        <v>-14862.697507705376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2">
        <v>81</v>
      </c>
      <c r="B83">
        <v>40955.532887702109</v>
      </c>
      <c r="C83" s="2">
        <v>0.69822918256189093</v>
      </c>
      <c r="D83">
        <v>-20008.657410845382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2">
        <v>82</v>
      </c>
      <c r="B84">
        <v>43756.810985876786</v>
      </c>
      <c r="C84" s="2">
        <v>1.1134030037711504</v>
      </c>
      <c r="D84">
        <v>-10354.720872742269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2">
        <v>83</v>
      </c>
      <c r="B85">
        <v>58861.076050611708</v>
      </c>
      <c r="C85" s="2">
        <v>0.80166584284409725</v>
      </c>
      <c r="D85">
        <v>-34811.100765288793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2">
        <v>84</v>
      </c>
      <c r="B86">
        <v>42434.366461925099</v>
      </c>
      <c r="C86" s="2">
        <v>0.79482516434205164</v>
      </c>
      <c r="D86">
        <v>-18589.611531663551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>
        <v>85</v>
      </c>
      <c r="B87">
        <v>39474.390447986312</v>
      </c>
      <c r="C87" s="2">
        <v>0.62823014468275251</v>
      </c>
      <c r="D87">
        <v>-20627.486107503737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>
        <v>86</v>
      </c>
      <c r="B88">
        <v>25329.483625863599</v>
      </c>
      <c r="C88" s="2">
        <v>0.43015181493975763</v>
      </c>
      <c r="D88">
        <v>-12424.929177670871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>
        <v>87</v>
      </c>
      <c r="B89">
        <v>41735.224447707093</v>
      </c>
      <c r="C89" s="2">
        <v>0.61731012612768721</v>
      </c>
      <c r="D89">
        <v>-23215.920663876477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>
        <v>88</v>
      </c>
      <c r="B90">
        <v>29702.63866698982</v>
      </c>
      <c r="C90" s="2">
        <v>0.56313881701846102</v>
      </c>
      <c r="D90">
        <v>-12808.47415643599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>
      <c r="A91" s="2">
        <v>89</v>
      </c>
      <c r="B91">
        <v>43418.436770703891</v>
      </c>
      <c r="C91" s="2">
        <v>0.80534162917576158</v>
      </c>
      <c r="D91">
        <v>-19258.187895431045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>
      <c r="A92" s="2">
        <v>90</v>
      </c>
      <c r="B92">
        <v>33076.817984532652</v>
      </c>
      <c r="C92" s="2">
        <v>0.71703321777646845</v>
      </c>
      <c r="D92">
        <v>-11565.8214512386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>
      <c r="A93" s="2">
        <v>91</v>
      </c>
      <c r="B93">
        <v>30095.649790217576</v>
      </c>
      <c r="C93" s="2">
        <v>0.64685002858775653</v>
      </c>
      <c r="D93">
        <v>-10690.148932584882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>
      <c r="A94" s="2">
        <v>92</v>
      </c>
      <c r="B94">
        <v>37481.44487735274</v>
      </c>
      <c r="C94" s="2">
        <v>0.89772631440928596</v>
      </c>
      <c r="D94">
        <v>-10549.655445074161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>
      <c r="A95" s="2">
        <v>93</v>
      </c>
      <c r="B95">
        <v>49105.530490763143</v>
      </c>
      <c r="C95" s="2">
        <v>0.54105708069929959</v>
      </c>
      <c r="D95">
        <v>-32873.81806978416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2">
        <v>94</v>
      </c>
      <c r="B96">
        <v>37791.391954437087</v>
      </c>
      <c r="C96" s="2">
        <v>0.67534808649773237</v>
      </c>
      <c r="D96">
        <v>-17530.949359505117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2">
        <v>95</v>
      </c>
      <c r="B97">
        <v>46661.526533096447</v>
      </c>
      <c r="C97" s="2">
        <v>0.51726647620664656</v>
      </c>
      <c r="D97">
        <v>-31143.532246897048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>
      <c r="A98" s="2">
        <v>96</v>
      </c>
      <c r="B98">
        <v>46742.748223789371</v>
      </c>
      <c r="C98" s="2">
        <v>0.64950938768218958</v>
      </c>
      <c r="D98">
        <v>-27257.466593323683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>
      <c r="A99" s="2">
        <v>97</v>
      </c>
      <c r="B99">
        <v>35280.51288503228</v>
      </c>
      <c r="C99" s="2">
        <v>0.4472313196762987</v>
      </c>
      <c r="D99">
        <v>-21863.573294743321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2">
        <v>98</v>
      </c>
      <c r="B100">
        <v>28566.049877443569</v>
      </c>
      <c r="C100" s="2">
        <v>0.57290222151183512</v>
      </c>
      <c r="D100">
        <v>-11378.983232088514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>
      <c r="A101" s="2">
        <v>99</v>
      </c>
      <c r="B101">
        <v>41862.869904403778</v>
      </c>
      <c r="C101" s="2">
        <v>0.83038217451718555</v>
      </c>
      <c r="D101">
        <v>-16951.404668888212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>
      <c r="A102" s="2">
        <v>100</v>
      </c>
      <c r="B102">
        <v>31374.886754424821</v>
      </c>
      <c r="C102" s="2">
        <v>0.76984606708648751</v>
      </c>
      <c r="D102">
        <v>-8279.5047418301947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>
      <c r="A103" s="2">
        <v>101</v>
      </c>
      <c r="B103">
        <v>43726.496172072439</v>
      </c>
      <c r="C103" s="2">
        <v>1.1771180769054885</v>
      </c>
      <c r="D103">
        <v>-8412.9538649077804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>
      <c r="A104" s="2">
        <v>102</v>
      </c>
      <c r="B104">
        <v>35656.993911098383</v>
      </c>
      <c r="C104" s="2">
        <v>0.82593238423084725</v>
      </c>
      <c r="D104">
        <v>-10879.022384172968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>
      <c r="A105" s="2">
        <v>103</v>
      </c>
      <c r="B105">
        <v>30107.224088245166</v>
      </c>
      <c r="C105" s="2">
        <v>1.1885978774909984</v>
      </c>
      <c r="D105">
        <v>5550.7122364847892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>
      <c r="A106" s="2">
        <v>104</v>
      </c>
      <c r="B106">
        <v>45039.884695252389</v>
      </c>
      <c r="C106" s="2">
        <v>0.94455741224361489</v>
      </c>
      <c r="D106">
        <v>-16703.162327943941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2">
        <v>105</v>
      </c>
      <c r="B107">
        <v>54094.887359838271</v>
      </c>
      <c r="C107" s="2">
        <v>0.92342189336054803</v>
      </c>
      <c r="D107">
        <v>-26392.230559021831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>
      <c r="A108" s="2">
        <v>106</v>
      </c>
      <c r="B108">
        <v>26992.595249649181</v>
      </c>
      <c r="C108" s="2">
        <v>0.37741532796360167</v>
      </c>
      <c r="D108">
        <v>-15670.135410741132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>
      <c r="A109" s="2">
        <v>107</v>
      </c>
      <c r="B109">
        <v>23245.568662562313</v>
      </c>
      <c r="C109" s="2">
        <v>0.41991076455709564</v>
      </c>
      <c r="D109">
        <v>-10648.245725849443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>
      <c r="A110" s="2">
        <v>108</v>
      </c>
      <c r="B110">
        <v>42621.803638172751</v>
      </c>
      <c r="C110" s="2">
        <v>0.79887458096165198</v>
      </c>
      <c r="D110">
        <v>-18655.566209323191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>
      <c r="A111" s="2">
        <v>109</v>
      </c>
      <c r="B111">
        <v>32456.708496269239</v>
      </c>
      <c r="C111" s="2">
        <v>0.91351074350576478</v>
      </c>
      <c r="D111">
        <v>-5051.3861910962951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>
      <c r="A112" s="2">
        <v>110</v>
      </c>
      <c r="B112">
        <v>37719.3151976472</v>
      </c>
      <c r="C112" s="2">
        <v>0.75979839860906617</v>
      </c>
      <c r="D112">
        <v>-14925.363239375216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>
      <c r="A113" s="2">
        <v>111</v>
      </c>
      <c r="B113">
        <v>38064.993577893278</v>
      </c>
      <c r="C113" s="2">
        <v>0.82481726215237017</v>
      </c>
      <c r="D113">
        <v>-13320.475713322172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>
      <c r="A114" s="2">
        <v>112</v>
      </c>
      <c r="B114">
        <v>33366.165691051916</v>
      </c>
      <c r="C114" s="2">
        <v>0.70772840073690801</v>
      </c>
      <c r="D114">
        <v>-12134.313668944676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>
      <c r="A115" s="2">
        <v>113</v>
      </c>
      <c r="B115">
        <v>38808.423701508043</v>
      </c>
      <c r="C115" s="2">
        <v>0.51981584037711626</v>
      </c>
      <c r="D115">
        <v>-23213.948490194554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>
      <c r="A116" s="2">
        <v>114</v>
      </c>
      <c r="B116">
        <v>48499.041939794733</v>
      </c>
      <c r="C116" s="2">
        <v>0.83997473174845405</v>
      </c>
      <c r="D116">
        <v>-23299.799987341114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>
      <c r="A117" s="2">
        <v>115</v>
      </c>
      <c r="B117">
        <v>25710.84017973984</v>
      </c>
      <c r="C117" s="2">
        <v>0.50090335113739037</v>
      </c>
      <c r="D117">
        <v>-10683.739645618129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2">
        <v>116</v>
      </c>
      <c r="B118">
        <v>29499.914938737435</v>
      </c>
      <c r="C118" s="2">
        <v>0.57328366024061794</v>
      </c>
      <c r="D118">
        <v>-12301.405131518895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>
      <c r="A119" s="2">
        <v>117</v>
      </c>
      <c r="B119">
        <v>29170.420135593602</v>
      </c>
      <c r="C119" s="2">
        <v>0.58002284240468782</v>
      </c>
      <c r="D119">
        <v>-11769.734863452966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>
      <c r="A120" s="2">
        <v>118</v>
      </c>
      <c r="B120">
        <v>50227.668311014517</v>
      </c>
      <c r="C120" s="2">
        <v>0.74931135608001598</v>
      </c>
      <c r="D120">
        <v>-27748.327628614039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>
      <c r="A121" s="2">
        <v>119</v>
      </c>
      <c r="B121">
        <v>35936.748852610188</v>
      </c>
      <c r="C121" s="2">
        <v>0.75722959435511794</v>
      </c>
      <c r="D121">
        <v>-13219.861021956651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>
      <c r="A122" s="2">
        <v>120</v>
      </c>
      <c r="B122">
        <v>25766.559879754066</v>
      </c>
      <c r="C122" s="2">
        <v>0.73675096994432532</v>
      </c>
      <c r="D122">
        <v>-3664.030781424306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>
      <c r="A123" s="2">
        <v>121</v>
      </c>
      <c r="B123">
        <v>39303.407356352065</v>
      </c>
      <c r="C123" s="2">
        <v>0.78725807808820081</v>
      </c>
      <c r="D123">
        <v>-15685.665013706042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>
      <c r="A124" s="2">
        <v>122</v>
      </c>
      <c r="B124">
        <v>17555.388710023995</v>
      </c>
      <c r="C124" s="2">
        <v>0.52417427526338334</v>
      </c>
      <c r="D124">
        <v>-1830.1604521224945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>
      <c r="A125" s="2">
        <v>123</v>
      </c>
      <c r="B125">
        <v>38496.420274730073</v>
      </c>
      <c r="C125" s="2">
        <v>0.64383390100111937</v>
      </c>
      <c r="D125">
        <v>-19181.403244696492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>
      <c r="A126" s="2">
        <v>124</v>
      </c>
      <c r="B126">
        <v>58295.995863988166</v>
      </c>
      <c r="C126" s="2">
        <v>0.73801041071807982</v>
      </c>
      <c r="D126">
        <v>-36155.683542445768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2">
        <v>125</v>
      </c>
      <c r="B127">
        <v>28504.591600642758</v>
      </c>
      <c r="C127" s="2">
        <v>0.6611812552203562</v>
      </c>
      <c r="D127">
        <v>-8669.1539440320703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>
      <c r="A128" s="2">
        <v>126</v>
      </c>
      <c r="B128">
        <v>40927.042480931923</v>
      </c>
      <c r="C128" s="2">
        <v>0.78645812943611992</v>
      </c>
      <c r="D128">
        <v>-17333.298597848327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>
      <c r="A129" s="2">
        <v>127</v>
      </c>
      <c r="B129">
        <v>31308.552698012318</v>
      </c>
      <c r="C129" s="2">
        <v>0.32089414802130167</v>
      </c>
      <c r="D129">
        <v>-21681.728257373266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>
      <c r="A130" s="2">
        <v>128</v>
      </c>
      <c r="B130">
        <v>45488.785315528228</v>
      </c>
      <c r="C130" s="2">
        <v>0.77051285596457064</v>
      </c>
      <c r="D130">
        <v>-22373.399636591108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>
      <c r="A131" s="2">
        <v>129</v>
      </c>
      <c r="B131">
        <v>36664.65279967372</v>
      </c>
      <c r="C131" s="2">
        <v>0.54668241970346942</v>
      </c>
      <c r="D131">
        <v>-20264.180208569636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>
      <c r="A132" s="2">
        <v>130</v>
      </c>
      <c r="B132">
        <v>25155.47684061683</v>
      </c>
      <c r="C132" s="2">
        <v>0.81091216102037555</v>
      </c>
      <c r="D132">
        <v>-828.11201000556321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>
      <c r="A133" s="2">
        <v>131</v>
      </c>
      <c r="B133">
        <v>44271.928398730568</v>
      </c>
      <c r="C133" s="2">
        <v>0.62354693590129773</v>
      </c>
      <c r="D133">
        <v>-25565.520321691638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>
      <c r="A134" s="2">
        <v>132</v>
      </c>
      <c r="B134">
        <v>47687.934451434732</v>
      </c>
      <c r="C134" s="2">
        <v>0.72793697446319539</v>
      </c>
      <c r="D134">
        <v>-25849.82521753887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>
      <c r="A135" s="2">
        <v>133</v>
      </c>
      <c r="B135">
        <v>34215.308973573505</v>
      </c>
      <c r="C135" s="2">
        <v>0.69051223224115454</v>
      </c>
      <c r="D135">
        <v>-13499.942006338868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2">
        <v>134</v>
      </c>
      <c r="B136">
        <v>40324.72367843485</v>
      </c>
      <c r="C136" s="2">
        <v>0.70255195402205683</v>
      </c>
      <c r="D136">
        <v>-19248.165057773145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>
      <c r="A137" s="2">
        <v>135</v>
      </c>
      <c r="B137">
        <v>61516.305189932216</v>
      </c>
      <c r="C137" s="2">
        <v>0.44873403187529037</v>
      </c>
      <c r="D137">
        <v>-48054.284233673505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>
      <c r="A138" s="2">
        <v>136</v>
      </c>
      <c r="B138">
        <v>63689.283353515282</v>
      </c>
      <c r="C138" s="2">
        <v>0.88261389470898122</v>
      </c>
      <c r="D138">
        <v>-37210.866512245848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2">
        <v>137</v>
      </c>
      <c r="B139">
        <v>50364.502457296476</v>
      </c>
      <c r="C139" s="2">
        <v>0.73598112982011066</v>
      </c>
      <c r="D139">
        <v>-28285.068562693155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>
      <c r="A140" s="2">
        <v>138</v>
      </c>
      <c r="B140">
        <v>27376.981032975949</v>
      </c>
      <c r="C140" s="2">
        <v>0.57317175344609095</v>
      </c>
      <c r="D140">
        <v>-10181.828429593221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>
      <c r="A141" s="2">
        <v>139</v>
      </c>
      <c r="B141">
        <v>32706.777400957268</v>
      </c>
      <c r="C141" s="2">
        <v>0.37301059819634141</v>
      </c>
      <c r="D141">
        <v>-21516.459455067023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>
      <c r="A142" s="2">
        <v>140</v>
      </c>
      <c r="B142">
        <v>34015.597164674786</v>
      </c>
      <c r="C142" s="2">
        <v>0.89602615327250157</v>
      </c>
      <c r="D142">
        <v>-7134.8125664997388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>
      <c r="A143" s="2">
        <v>141</v>
      </c>
      <c r="B143">
        <v>30811.739507067112</v>
      </c>
      <c r="C143" s="2">
        <v>0.79888653339614968</v>
      </c>
      <c r="D143">
        <v>-6845.1435051826229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2">
        <v>142</v>
      </c>
      <c r="B144">
        <v>16816.073277275791</v>
      </c>
      <c r="C144" s="2">
        <v>0.86050158657589337</v>
      </c>
      <c r="D144">
        <v>8998.9743200010089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>
      <c r="A145" s="2">
        <v>143</v>
      </c>
      <c r="B145">
        <v>38876.762547901984</v>
      </c>
      <c r="C145" s="2">
        <v>0.62628125521834943</v>
      </c>
      <c r="D145">
        <v>-20088.324891351502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2">
        <v>144</v>
      </c>
      <c r="B146">
        <v>21091.836644987918</v>
      </c>
      <c r="C146" s="2">
        <v>0.6138612571293387</v>
      </c>
      <c r="D146">
        <v>-2675.9989311077552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>
      <c r="A147" s="2">
        <v>145</v>
      </c>
      <c r="B147">
        <v>45638.273548659505</v>
      </c>
      <c r="C147" s="2">
        <v>0.58699211674886809</v>
      </c>
      <c r="D147">
        <v>-28028.510046193463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>
      <c r="A148" s="2">
        <v>146</v>
      </c>
      <c r="B148">
        <v>31921.6139320847</v>
      </c>
      <c r="C148" s="2">
        <v>0.67879390938189976</v>
      </c>
      <c r="D148">
        <v>-11557.796650627708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>
      <c r="A149" s="2">
        <v>147</v>
      </c>
      <c r="B149">
        <v>30793.656419392304</v>
      </c>
      <c r="C149" s="2">
        <v>0.42942152811771339</v>
      </c>
      <c r="D149">
        <v>-17911.010575860902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>
      <c r="A150" s="2">
        <v>148</v>
      </c>
      <c r="B150">
        <v>23525.059729437206</v>
      </c>
      <c r="C150" s="2">
        <v>0.56789956134445174</v>
      </c>
      <c r="D150">
        <v>-6488.0728891036524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>
      <c r="A151" s="2">
        <v>149</v>
      </c>
      <c r="B151">
        <v>37268.93529511863</v>
      </c>
      <c r="C151" s="2">
        <v>0.86093272268828147</v>
      </c>
      <c r="D151">
        <v>-11440.953614470185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>
      <c r="A152" s="2">
        <v>150</v>
      </c>
      <c r="B152">
        <v>38911.244604873413</v>
      </c>
      <c r="C152" s="2">
        <v>1.0564628934120708</v>
      </c>
      <c r="D152">
        <v>-7217.3578025112911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>
      <c r="A153" s="2">
        <v>151</v>
      </c>
      <c r="B153">
        <v>45848.680989341672</v>
      </c>
      <c r="C153" s="2">
        <v>0.43623065077341083</v>
      </c>
      <c r="D153">
        <v>-32761.761466139345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>
      <c r="A154" s="2">
        <v>152</v>
      </c>
      <c r="B154">
        <v>38063.848828255897</v>
      </c>
      <c r="C154" s="2">
        <v>0.84929799996400557</v>
      </c>
      <c r="D154">
        <v>-12584.908829335731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>
      <c r="A155" s="2">
        <v>153</v>
      </c>
      <c r="B155">
        <v>38518.591452220164</v>
      </c>
      <c r="C155" s="2">
        <v>0.63260557799237893</v>
      </c>
      <c r="D155">
        <v>-19540.424112448796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>
      <c r="A156" s="2">
        <v>154</v>
      </c>
      <c r="B156">
        <v>36553.767872947028</v>
      </c>
      <c r="C156" s="2">
        <v>0.96012701581705473</v>
      </c>
      <c r="D156">
        <v>-7749.9573984353847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>
      <c r="A157" s="2">
        <v>155</v>
      </c>
      <c r="B157">
        <v>29015.73238761472</v>
      </c>
      <c r="C157" s="2">
        <v>0.95234349648421612</v>
      </c>
      <c r="D157">
        <v>-445.42749308823477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>
        <v>156</v>
      </c>
      <c r="B158">
        <v>36708.922181193135</v>
      </c>
      <c r="C158" s="2">
        <v>0.8817665352009223</v>
      </c>
      <c r="D158">
        <v>-10255.926125165464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>
        <v>157</v>
      </c>
      <c r="B159">
        <v>41370.000894243014</v>
      </c>
      <c r="C159" s="2">
        <v>0.52223957874469273</v>
      </c>
      <c r="D159">
        <v>-25702.813531902233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>
        <v>158</v>
      </c>
      <c r="B160">
        <v>31529.077031768</v>
      </c>
      <c r="C160" s="2">
        <v>0.62936138403203001</v>
      </c>
      <c r="D160">
        <v>-12648.235510807099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>
      <c r="A161" s="2">
        <v>159</v>
      </c>
      <c r="B161">
        <v>21070.753327316095</v>
      </c>
      <c r="C161" s="2">
        <v>0.19355817469192571</v>
      </c>
      <c r="D161">
        <v>-15264.008086558324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>
      <c r="A162" s="2">
        <v>160</v>
      </c>
      <c r="B162">
        <v>25409.511788042953</v>
      </c>
      <c r="C162" s="2">
        <v>0.69637104287172868</v>
      </c>
      <c r="D162">
        <v>-4518.3805018910934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>
      <c r="A163" s="2">
        <v>161</v>
      </c>
      <c r="B163">
        <v>36306.778148428872</v>
      </c>
      <c r="C163" s="2">
        <v>0.54005486773849021</v>
      </c>
      <c r="D163">
        <v>-20105.132116274166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>
      <c r="A164" s="2">
        <v>162</v>
      </c>
      <c r="B164">
        <v>53206.596021325415</v>
      </c>
      <c r="C164" s="2">
        <v>0.94185142851450299</v>
      </c>
      <c r="D164">
        <v>-24951.053165890324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>
      <c r="A165" s="2">
        <v>163</v>
      </c>
      <c r="B165">
        <v>28426.970322388312</v>
      </c>
      <c r="C165" s="2">
        <v>0.55610633716820601</v>
      </c>
      <c r="D165">
        <v>-11743.78020734213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>
      <c r="A166" s="2">
        <v>164</v>
      </c>
      <c r="B166">
        <v>36624.757485353759</v>
      </c>
      <c r="C166" s="2">
        <v>0.3668062864350996</v>
      </c>
      <c r="D166">
        <v>-25620.568892300769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>
      <c r="A167" s="2">
        <v>165</v>
      </c>
      <c r="B167">
        <v>28199.02525783833</v>
      </c>
      <c r="C167" s="2">
        <v>0.88558853937492543</v>
      </c>
      <c r="D167">
        <v>-1631.3690765905667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>
      <c r="A168" s="2">
        <v>166</v>
      </c>
      <c r="B168">
        <v>33165.343592888756</v>
      </c>
      <c r="C168" s="2">
        <v>0.78933902668086597</v>
      </c>
      <c r="D168">
        <v>-9485.1727924627776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>
      <c r="A169" s="2">
        <v>167</v>
      </c>
      <c r="B169">
        <v>40228.474168820969</v>
      </c>
      <c r="C169" s="2">
        <v>0.43673305940627749</v>
      </c>
      <c r="D169">
        <v>-27126.482386632644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>
      <c r="A170" s="2">
        <v>168</v>
      </c>
      <c r="B170">
        <v>50036.595791935775</v>
      </c>
      <c r="C170" s="2">
        <v>0.85526087309679144</v>
      </c>
      <c r="D170">
        <v>-24378.769599032032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2">
        <v>169</v>
      </c>
      <c r="B171">
        <v>23561.597506295839</v>
      </c>
      <c r="C171" s="2">
        <v>0.69001282293422039</v>
      </c>
      <c r="D171">
        <v>-2861.2128182692286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>
      <c r="A172" s="2">
        <v>170</v>
      </c>
      <c r="B172">
        <v>27294.720312342048</v>
      </c>
      <c r="C172" s="2">
        <v>0.51225698494611493</v>
      </c>
      <c r="D172">
        <v>-11927.0107639586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2">
        <v>171</v>
      </c>
      <c r="B173">
        <v>39226.416500437728</v>
      </c>
      <c r="C173" s="2">
        <v>0.74041894292926735</v>
      </c>
      <c r="D173">
        <v>-17013.848212559707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>
      <c r="A174" s="2">
        <v>172</v>
      </c>
      <c r="B174">
        <v>48620.811212248562</v>
      </c>
      <c r="C174" s="2">
        <v>0.74511316572479847</v>
      </c>
      <c r="D174">
        <v>-26267.416240504608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>
      <c r="A175" s="2">
        <v>173</v>
      </c>
      <c r="B175">
        <v>23222.384811039905</v>
      </c>
      <c r="C175" s="2">
        <v>0.63597615597349533</v>
      </c>
      <c r="D175">
        <v>-4143.1001318350463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>
      <c r="A176" s="2">
        <v>174</v>
      </c>
      <c r="B176">
        <v>30851.345226092002</v>
      </c>
      <c r="C176" s="2">
        <v>0.59111830161158752</v>
      </c>
      <c r="D176">
        <v>-13117.796177744378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>
      <c r="A177" s="2">
        <v>175</v>
      </c>
      <c r="B177">
        <v>24433.786418134594</v>
      </c>
      <c r="C177" s="2">
        <v>0.57271760476082822</v>
      </c>
      <c r="D177">
        <v>-7252.2582753097486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>
      <c r="A178" s="2">
        <v>176</v>
      </c>
      <c r="B178">
        <v>33961.403679647003</v>
      </c>
      <c r="C178" s="2">
        <v>0.67420797666971777</v>
      </c>
      <c r="D178">
        <v>-13735.16437955547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>
      <c r="A179" s="2">
        <v>177</v>
      </c>
      <c r="B179">
        <v>39332.713583150689</v>
      </c>
      <c r="C179" s="2">
        <v>0.46873130870971846</v>
      </c>
      <c r="D179">
        <v>-25270.774321859135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>
      <c r="A180" s="2">
        <v>178</v>
      </c>
      <c r="B180">
        <v>26247.238414011117</v>
      </c>
      <c r="C180" s="2">
        <v>1.0027866971128765</v>
      </c>
      <c r="D180">
        <v>3836.3624993751764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>
      <c r="A181" s="2">
        <v>179</v>
      </c>
      <c r="B181">
        <v>44586.724310759913</v>
      </c>
      <c r="C181" s="2">
        <v>0.28697185766850541</v>
      </c>
      <c r="D181">
        <v>-35977.568580704748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>
      <c r="A182" s="2">
        <v>180</v>
      </c>
      <c r="B182">
        <v>34364.415508162441</v>
      </c>
      <c r="C182" s="2">
        <v>0.56770656471659042</v>
      </c>
      <c r="D182">
        <v>-17333.218566664727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>
      <c r="A183" s="2">
        <v>181</v>
      </c>
      <c r="B183">
        <v>37667.667533256557</v>
      </c>
      <c r="C183" s="2">
        <v>0.5581415894352737</v>
      </c>
      <c r="D183">
        <v>-20923.419850198345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>
      <c r="A184" s="2">
        <v>182</v>
      </c>
      <c r="B184">
        <v>32079.775886499141</v>
      </c>
      <c r="C184" s="2">
        <v>0.50869080134735434</v>
      </c>
      <c r="D184">
        <v>-16819.05184607851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>
      <c r="A185" s="2">
        <v>183</v>
      </c>
      <c r="B185">
        <v>29808.674655445415</v>
      </c>
      <c r="C185" s="2">
        <v>7.6274346362728895E-2</v>
      </c>
      <c r="D185">
        <v>-27520.44426456355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>
      <c r="A186" s="2">
        <v>184</v>
      </c>
      <c r="B186">
        <v>34481.713001429154</v>
      </c>
      <c r="C186" s="2">
        <v>0.92096826207255167</v>
      </c>
      <c r="D186">
        <v>-6852.6651392526037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>
      <c r="A187" s="2">
        <v>185</v>
      </c>
      <c r="B187">
        <v>41906.308341320255</v>
      </c>
      <c r="C187" s="2">
        <v>0.46796767190644162</v>
      </c>
      <c r="D187">
        <v>-27867.278184127004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>
      <c r="A188" s="2">
        <v>186</v>
      </c>
      <c r="B188">
        <v>32236.924787690499</v>
      </c>
      <c r="C188" s="2">
        <v>1.0317716603620111</v>
      </c>
      <c r="D188">
        <v>-1283.7749768301655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>
      <c r="A189" s="2">
        <v>187</v>
      </c>
      <c r="B189">
        <v>41652.902886554657</v>
      </c>
      <c r="C189" s="2">
        <v>0.89567998308190888</v>
      </c>
      <c r="D189">
        <v>-14782.503394097392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>
      <c r="A190" s="2">
        <v>188</v>
      </c>
      <c r="B190">
        <v>39054.240096498033</v>
      </c>
      <c r="C190" s="2">
        <v>0.53177924925946507</v>
      </c>
      <c r="D190">
        <v>-23100.862618714084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>
      <c r="A191" s="2">
        <v>189</v>
      </c>
      <c r="B191">
        <v>29703.201510152248</v>
      </c>
      <c r="C191" s="2">
        <v>1.0369645779266088</v>
      </c>
      <c r="D191">
        <v>1405.7358276460145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>
      <c r="A192" s="2">
        <v>190</v>
      </c>
      <c r="B192">
        <v>20707.5284475476</v>
      </c>
      <c r="C192" s="2">
        <v>1.0633304782072892</v>
      </c>
      <c r="D192">
        <v>11192.385898671077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>
      <c r="A193" s="2">
        <v>191</v>
      </c>
      <c r="B193">
        <v>39123.979097129522</v>
      </c>
      <c r="C193" s="2">
        <v>0.22232079310064279</v>
      </c>
      <c r="D193">
        <v>-32454.355304110239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>
      <c r="A194" s="2">
        <v>192</v>
      </c>
      <c r="B194">
        <v>42888.916871370981</v>
      </c>
      <c r="C194" s="2">
        <v>0.59415067688270051</v>
      </c>
      <c r="D194">
        <v>-25064.396564889965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>
      <c r="A195" s="2">
        <v>193</v>
      </c>
      <c r="B195">
        <v>32047.832484609011</v>
      </c>
      <c r="C195" s="2">
        <v>0.7640390108140116</v>
      </c>
      <c r="D195">
        <v>-9126.6621601886618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>
      <c r="A196" s="2">
        <v>194</v>
      </c>
      <c r="B196">
        <v>32376.93040111383</v>
      </c>
      <c r="C196" s="2">
        <v>0.39326964895044569</v>
      </c>
      <c r="D196">
        <v>-20578.840932600458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>
      <c r="A197" s="2">
        <v>195</v>
      </c>
      <c r="B197">
        <v>13963.788517549365</v>
      </c>
      <c r="C197" s="2">
        <v>0.48894567351888485</v>
      </c>
      <c r="D197">
        <v>704.58168801718057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2">
        <v>196</v>
      </c>
      <c r="B198">
        <v>35030.258164333063</v>
      </c>
      <c r="C198" s="2">
        <v>0.53868129805853715</v>
      </c>
      <c r="D198">
        <v>-18869.819222576949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>
      <c r="A199" s="2">
        <v>197</v>
      </c>
      <c r="B199">
        <v>32815.010826680133</v>
      </c>
      <c r="C199" s="2">
        <v>0.90817510182400207</v>
      </c>
      <c r="D199">
        <v>-5569.7577719600704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>
      <c r="A200" s="2">
        <v>198</v>
      </c>
      <c r="B200">
        <v>52255.440756402226</v>
      </c>
      <c r="C200" s="2">
        <v>0.82671703200080771</v>
      </c>
      <c r="D200">
        <v>-27453.929796377994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>
      <c r="A201" s="2">
        <v>199</v>
      </c>
      <c r="B201">
        <v>32469.266926188269</v>
      </c>
      <c r="C201" s="2">
        <v>0.89748170381317882</v>
      </c>
      <c r="D201">
        <v>-5544.8158117929052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>
      <c r="A202" s="2">
        <v>200</v>
      </c>
      <c r="B202">
        <v>45718.165541562594</v>
      </c>
      <c r="C202" s="2">
        <v>0.48596466760685009</v>
      </c>
      <c r="D202">
        <v>-31139.225513357091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>
      <c r="A203" s="2">
        <v>201</v>
      </c>
      <c r="B203">
        <v>40591.892831548626</v>
      </c>
      <c r="C203" s="2">
        <v>0.2290273600246473</v>
      </c>
      <c r="D203">
        <v>-33721.072030809206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>
      <c r="A204" s="2">
        <v>202</v>
      </c>
      <c r="B204">
        <v>47158.211926934178</v>
      </c>
      <c r="C204" s="2">
        <v>0.54556988242879134</v>
      </c>
      <c r="D204">
        <v>-30791.115454070437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>
      <c r="A205" s="2">
        <v>203</v>
      </c>
      <c r="B205">
        <v>38810.622224955274</v>
      </c>
      <c r="C205" s="2">
        <v>0.78127991523574525</v>
      </c>
      <c r="D205">
        <v>-15372.224767882915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>
      <c r="A206" s="2">
        <v>204</v>
      </c>
      <c r="B206">
        <v>33819.645017704031</v>
      </c>
      <c r="C206" s="2">
        <v>1.1159624209583305</v>
      </c>
      <c r="D206">
        <v>-340.77238895411574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>
      <c r="A207" s="2">
        <v>205</v>
      </c>
      <c r="B207">
        <v>34066.335269856645</v>
      </c>
      <c r="C207" s="2">
        <v>0.17918135933476753</v>
      </c>
      <c r="D207">
        <v>-28690.894489813618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>
      <c r="A208" s="2">
        <v>206</v>
      </c>
      <c r="B208">
        <v>35687.470895044571</v>
      </c>
      <c r="C208" s="2">
        <v>0.67002990934461892</v>
      </c>
      <c r="D208">
        <v>-15586.573614706005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>
      <c r="A209" s="2">
        <v>207</v>
      </c>
      <c r="B209">
        <v>35658.260182754799</v>
      </c>
      <c r="C209" s="2">
        <v>0.51108045100057486</v>
      </c>
      <c r="D209">
        <v>-20325.846652737553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>
      <c r="A210" s="2">
        <v>208</v>
      </c>
      <c r="B210">
        <v>39813.427708513373</v>
      </c>
      <c r="C210" s="2">
        <v>0.42886450007526244</v>
      </c>
      <c r="D210">
        <v>-26947.4927062555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>
      <c r="A211" s="2">
        <v>209</v>
      </c>
      <c r="B211">
        <v>43051.177451758223</v>
      </c>
      <c r="C211" s="2">
        <v>1.074143576313362</v>
      </c>
      <c r="D211">
        <v>-10826.870162357365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>
      <c r="A212" s="2">
        <v>210</v>
      </c>
      <c r="B212">
        <v>49583.592725126844</v>
      </c>
      <c r="C212" s="2">
        <v>0.51864618289041919</v>
      </c>
      <c r="D212">
        <v>-34024.207238414267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>
      <c r="A213" s="2">
        <v>211</v>
      </c>
      <c r="B213">
        <v>36851.284771747225</v>
      </c>
      <c r="C213" s="2">
        <v>0.53817800431979457</v>
      </c>
      <c r="D213">
        <v>-20705.944642153387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>
      <c r="A214" s="2">
        <v>212</v>
      </c>
      <c r="B214">
        <v>27238.254486527927</v>
      </c>
      <c r="C214" s="2">
        <v>0.65199374005760458</v>
      </c>
      <c r="D214">
        <v>-7678.4422847997885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>
      <c r="A215" s="2">
        <v>213</v>
      </c>
      <c r="B215">
        <v>36566.807467261744</v>
      </c>
      <c r="C215" s="2">
        <v>0.56478901551074445</v>
      </c>
      <c r="D215">
        <v>-19623.137001939409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>
      <c r="A216" s="2">
        <v>214</v>
      </c>
      <c r="B216">
        <v>36901.350256867569</v>
      </c>
      <c r="C216" s="2">
        <v>0.69633216167097456</v>
      </c>
      <c r="D216">
        <v>-16011.385406738333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>
      <c r="A217" s="2">
        <v>215</v>
      </c>
      <c r="B217">
        <v>24890.271271054218</v>
      </c>
      <c r="C217" s="2">
        <v>0.9857980832238793</v>
      </c>
      <c r="D217">
        <v>4683.6712256621613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>
      <c r="A218" s="2">
        <v>216</v>
      </c>
      <c r="B218">
        <v>35742.002950488735</v>
      </c>
      <c r="C218" s="2">
        <v>0.37395777563654775</v>
      </c>
      <c r="D218">
        <v>-24523.269681392303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>
      <c r="A219" s="2">
        <v>217</v>
      </c>
      <c r="B219">
        <v>46602.199141380202</v>
      </c>
      <c r="C219" s="2">
        <v>0.81788480093807858</v>
      </c>
      <c r="D219">
        <v>-22065.655113237844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>
      <c r="A220" s="2">
        <v>218</v>
      </c>
      <c r="B220">
        <v>21841.711398299172</v>
      </c>
      <c r="C220" s="2">
        <v>0.53433807303201908</v>
      </c>
      <c r="D220">
        <v>-5811.5692073385999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>
      <c r="A221" s="2">
        <v>219</v>
      </c>
      <c r="B221">
        <v>37994.76445386769</v>
      </c>
      <c r="C221" s="2">
        <v>0.57426939797087617</v>
      </c>
      <c r="D221">
        <v>-20766.682514741406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>
      <c r="A222" s="2">
        <v>220</v>
      </c>
      <c r="B222">
        <v>28268.747269049592</v>
      </c>
      <c r="C222" s="2">
        <v>0.28167260967408292</v>
      </c>
      <c r="D222">
        <v>-19818.568978827105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>
      <c r="A223" s="2">
        <v>221</v>
      </c>
      <c r="B223">
        <v>36411.549582847831</v>
      </c>
      <c r="C223" s="2">
        <v>0.44236202040707062</v>
      </c>
      <c r="D223">
        <v>-23140.688970635711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>
      <c r="A224" s="2">
        <v>222</v>
      </c>
      <c r="B224">
        <v>32382.473431673257</v>
      </c>
      <c r="C224" s="2">
        <v>0.43593483204443384</v>
      </c>
      <c r="D224">
        <v>-19304.428470340245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>
      <c r="A225" s="2">
        <v>223</v>
      </c>
      <c r="B225">
        <v>46675.005559841484</v>
      </c>
      <c r="C225" s="2">
        <v>0.89709517849143938</v>
      </c>
      <c r="D225">
        <v>-19762.150205098304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>
      <c r="A226" s="2">
        <v>224</v>
      </c>
      <c r="B226">
        <v>32315.460756299173</v>
      </c>
      <c r="C226" s="2">
        <v>0.92516460254569499</v>
      </c>
      <c r="D226">
        <v>-4560.5226799283228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>
      <c r="A227" s="2">
        <v>225</v>
      </c>
      <c r="B227">
        <v>49005.249881034273</v>
      </c>
      <c r="C227" s="2">
        <v>0.72908695761143427</v>
      </c>
      <c r="D227">
        <v>-27132.641152691245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>
      <c r="A228" s="2">
        <v>226</v>
      </c>
      <c r="B228">
        <v>34065.986599237753</v>
      </c>
      <c r="C228" s="2">
        <v>0.58301497417015069</v>
      </c>
      <c r="D228">
        <v>-16575.537374133233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>
      <c r="A229" s="2">
        <v>227</v>
      </c>
      <c r="B229">
        <v>33302.950025173821</v>
      </c>
      <c r="C229" s="2">
        <v>0.90044670104591007</v>
      </c>
      <c r="D229">
        <v>-6289.5489937965176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>
      <c r="A230" s="2">
        <v>228</v>
      </c>
      <c r="B230">
        <v>41564.245471775997</v>
      </c>
      <c r="C230" s="2">
        <v>0.79047145489795012</v>
      </c>
      <c r="D230">
        <v>-17850.101824837493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>
      <c r="A231" s="2">
        <v>229</v>
      </c>
      <c r="B231">
        <v>38281.99450574279</v>
      </c>
      <c r="C231" s="2">
        <v>0.50629246651273285</v>
      </c>
      <c r="D231">
        <v>-23093.220510360807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>
      <c r="A232" s="2">
        <v>230</v>
      </c>
      <c r="B232">
        <v>27639.168822514737</v>
      </c>
      <c r="C232" s="2">
        <v>0.81107429797104946</v>
      </c>
      <c r="D232">
        <v>-3306.9398833832529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>
      <c r="A233" s="2">
        <v>231</v>
      </c>
      <c r="B233">
        <v>20558.811276116823</v>
      </c>
      <c r="C233" s="2">
        <v>0.37731302363838659</v>
      </c>
      <c r="D233">
        <v>-9239.4205669652256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>
      <c r="A234" s="2">
        <v>232</v>
      </c>
      <c r="B234">
        <v>34327.577140744281</v>
      </c>
      <c r="C234" s="2">
        <v>0.4530092712002658</v>
      </c>
      <c r="D234">
        <v>-20737.299004736306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>
      <c r="A235" s="2">
        <v>233</v>
      </c>
      <c r="B235">
        <v>48430.850028388559</v>
      </c>
      <c r="C235" s="2">
        <v>1.0856131757827436</v>
      </c>
      <c r="D235">
        <v>-15862.454754906248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>
      <c r="A236" s="2">
        <v>234</v>
      </c>
      <c r="B236">
        <v>25766.881331604643</v>
      </c>
      <c r="C236" s="2">
        <v>0.81619983359240011</v>
      </c>
      <c r="D236">
        <v>-1280.8863238326412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>
      <c r="A237" s="2">
        <v>235</v>
      </c>
      <c r="B237">
        <v>31709.233104526065</v>
      </c>
      <c r="C237" s="2">
        <v>0.71966748908833789</v>
      </c>
      <c r="D237">
        <v>-10119.20843187593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>
      <c r="A238" s="2">
        <v>236</v>
      </c>
      <c r="B238">
        <v>54450.282290090152</v>
      </c>
      <c r="C238" s="2">
        <v>0.62963861094832718</v>
      </c>
      <c r="D238">
        <v>-35561.123961640333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>
      <c r="A239" s="2">
        <v>237</v>
      </c>
      <c r="B239">
        <v>24140.994568691785</v>
      </c>
      <c r="C239" s="2">
        <v>0.53765277682178558</v>
      </c>
      <c r="D239">
        <v>-8011.4112640382173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>
      <c r="A240" s="2">
        <v>238</v>
      </c>
      <c r="B240">
        <v>37023.718850852958</v>
      </c>
      <c r="C240" s="2">
        <v>0.65721993931328404</v>
      </c>
      <c r="D240">
        <v>-17307.120671454435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>
      <c r="A241" s="2">
        <v>239</v>
      </c>
      <c r="B241">
        <v>17165.38961422092</v>
      </c>
      <c r="C241" s="2">
        <v>0.57299915893244813</v>
      </c>
      <c r="D241">
        <v>24.585153752523183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>
      <c r="A242" s="2">
        <v>240</v>
      </c>
      <c r="B242">
        <v>29306.769303680885</v>
      </c>
      <c r="C242" s="2">
        <v>0.54953789273813292</v>
      </c>
      <c r="D242">
        <v>-12820.632521536896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>
      <c r="A243" s="2">
        <v>241</v>
      </c>
      <c r="B243">
        <v>25981.593181681958</v>
      </c>
      <c r="C243" s="2">
        <v>0.75390243722165939</v>
      </c>
      <c r="D243">
        <v>-3364.5200650321749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>
      <c r="A244" s="2">
        <v>242</v>
      </c>
      <c r="B244">
        <v>46612.669685297064</v>
      </c>
      <c r="C244" s="2">
        <v>0.51534902107786507</v>
      </c>
      <c r="D244">
        <v>-31152.199052961114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>
      <c r="A245" s="2">
        <v>243</v>
      </c>
      <c r="B245">
        <v>24850.051215546329</v>
      </c>
      <c r="C245" s="2">
        <v>0.46624914991557964</v>
      </c>
      <c r="D245">
        <v>-10862.576718078941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>
      <c r="A246" s="2">
        <v>244</v>
      </c>
      <c r="B246">
        <v>25927.343699943376</v>
      </c>
      <c r="C246" s="2">
        <v>0.82107069141392097</v>
      </c>
      <c r="D246">
        <v>-1295.2229575257479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>
      <c r="A247" s="2">
        <v>245</v>
      </c>
      <c r="B247">
        <v>25454.446822102036</v>
      </c>
      <c r="C247" s="2">
        <v>0.47749482632548124</v>
      </c>
      <c r="D247">
        <v>-11129.6020323376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>
      <c r="A248" s="2">
        <v>246</v>
      </c>
      <c r="B248">
        <v>31535.481053715281</v>
      </c>
      <c r="C248" s="2">
        <v>0.5644224561460649</v>
      </c>
      <c r="D248">
        <v>-14602.807369333335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>
      <c r="A249" s="2">
        <v>247</v>
      </c>
      <c r="B249">
        <v>21924.647342876233</v>
      </c>
      <c r="C249" s="2">
        <v>0.89149391686992163</v>
      </c>
      <c r="D249">
        <v>4820.1701632214172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>
      <c r="A250" s="2">
        <v>248</v>
      </c>
      <c r="B250">
        <v>45406.818714193469</v>
      </c>
      <c r="C250" s="2">
        <v>1.0797423746790116</v>
      </c>
      <c r="D250">
        <v>-13014.547473823121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>
      <c r="A251" s="2">
        <v>249</v>
      </c>
      <c r="B251">
        <v>42787.656939465422</v>
      </c>
      <c r="C251" s="2">
        <v>0.88292103731805627</v>
      </c>
      <c r="D251">
        <v>-16300.025819923732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>
      <c r="A252" s="2">
        <v>250</v>
      </c>
      <c r="B252">
        <v>40935.446342131116</v>
      </c>
      <c r="C252" s="2">
        <v>0.89784760348966119</v>
      </c>
      <c r="D252">
        <v>-14000.01823744128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>
      <c r="A253" s="2">
        <v>251</v>
      </c>
      <c r="B253">
        <v>20964.595394911616</v>
      </c>
      <c r="C253" s="2">
        <v>0.55200111651406281</v>
      </c>
      <c r="D253">
        <v>-4404.5618994897304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>
      <c r="A254" s="2">
        <v>252</v>
      </c>
      <c r="B254">
        <v>27684.662835073141</v>
      </c>
      <c r="C254" s="2">
        <v>0.43391799459574587</v>
      </c>
      <c r="D254">
        <v>-14667.122997200764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>
      <c r="A255" s="2">
        <v>253</v>
      </c>
      <c r="B255">
        <v>29324.094193355399</v>
      </c>
      <c r="C255" s="2">
        <v>0.72288215130813827</v>
      </c>
      <c r="D255">
        <v>-7637.6296541112497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>
      <c r="A256" s="2">
        <v>254</v>
      </c>
      <c r="B256">
        <v>33219.722450708097</v>
      </c>
      <c r="C256" s="2">
        <v>0.73449811904556461</v>
      </c>
      <c r="D256">
        <v>-11184.77887934116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>
      <c r="A257" s="2">
        <v>255</v>
      </c>
      <c r="B257">
        <v>19517.104178252004</v>
      </c>
      <c r="C257" s="2">
        <v>0.70057273839331446</v>
      </c>
      <c r="D257">
        <v>1500.077973547428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>
      <c r="A258" s="2">
        <v>256</v>
      </c>
      <c r="B258">
        <v>41813.375689141889</v>
      </c>
      <c r="C258" s="2">
        <v>0.7149092320050503</v>
      </c>
      <c r="D258">
        <v>-20366.098728990379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>
      <c r="A259" s="2">
        <v>257</v>
      </c>
      <c r="B259">
        <v>40223.832607075623</v>
      </c>
      <c r="C259" s="2">
        <v>0.80665134982212083</v>
      </c>
      <c r="D259">
        <v>-16024.292112411997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>
      <c r="A260" s="2">
        <v>258</v>
      </c>
      <c r="B260">
        <v>26856.387504354825</v>
      </c>
      <c r="C260" s="2">
        <v>0.69146438755709827</v>
      </c>
      <c r="D260">
        <v>-6112.455877641878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>
      <c r="A261" s="2">
        <v>259</v>
      </c>
      <c r="B261">
        <v>32603.279643411333</v>
      </c>
      <c r="C261" s="2">
        <v>0.61871689472692215</v>
      </c>
      <c r="D261">
        <v>-14041.772801603667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>
      <c r="A262" s="2">
        <v>260</v>
      </c>
      <c r="B262">
        <v>38005.230880933501</v>
      </c>
      <c r="C262" s="2">
        <v>0.69836432331332454</v>
      </c>
      <c r="D262">
        <v>-17054.301181533763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>
      <c r="A263" s="2">
        <v>261</v>
      </c>
      <c r="B263">
        <v>29949.340552917558</v>
      </c>
      <c r="C263" s="2">
        <v>0.53981983708670112</v>
      </c>
      <c r="D263">
        <v>-13754.745440316525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>
      <c r="A264" s="2">
        <v>262</v>
      </c>
      <c r="B264">
        <v>33896.809934422061</v>
      </c>
      <c r="C264" s="2">
        <v>1.061662655393343</v>
      </c>
      <c r="D264">
        <v>-2046.9302726217684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>
      <c r="A265" s="2">
        <v>263</v>
      </c>
      <c r="B265">
        <v>42220.303093259368</v>
      </c>
      <c r="C265" s="2">
        <v>0.35254292200652948</v>
      </c>
      <c r="D265">
        <v>-31644.015433063483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>
      <c r="A266" s="2">
        <v>264</v>
      </c>
      <c r="B266">
        <v>22409.41985361548</v>
      </c>
      <c r="C266" s="2">
        <v>0.61898385320206817</v>
      </c>
      <c r="D266">
        <v>-3839.9042575534331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>
      <c r="A267" s="2">
        <v>265</v>
      </c>
      <c r="B267">
        <v>28674.205347620831</v>
      </c>
      <c r="C267" s="2">
        <v>0.81831905565100138</v>
      </c>
      <c r="D267">
        <v>-4124.6336780907914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>
      <c r="A268" s="2">
        <v>266</v>
      </c>
      <c r="B268">
        <v>22066.286542990762</v>
      </c>
      <c r="C268" s="2">
        <v>0.76617764453508408</v>
      </c>
      <c r="D268">
        <v>919.0427930617625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>
      <c r="A269" s="2">
        <v>267</v>
      </c>
      <c r="B269">
        <v>37950.002089739923</v>
      </c>
      <c r="C269" s="2">
        <v>0.69264465764454775</v>
      </c>
      <c r="D269">
        <v>-17170.66236040349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>
      <c r="A270" s="2">
        <v>268</v>
      </c>
      <c r="B270">
        <v>43923.06104564025</v>
      </c>
      <c r="C270" s="2">
        <v>0.75642287783303286</v>
      </c>
      <c r="D270">
        <v>-21230.374710649263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>
      <c r="A271" s="2">
        <v>269</v>
      </c>
      <c r="B271">
        <v>26790.386996637506</v>
      </c>
      <c r="C271" s="2">
        <v>0.60259142207241934</v>
      </c>
      <c r="D271">
        <v>-8712.6443344649269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>
      <c r="A272" s="2">
        <v>270</v>
      </c>
      <c r="B272">
        <v>20513.241820474403</v>
      </c>
      <c r="C272" s="2">
        <v>0.46803938605170514</v>
      </c>
      <c r="D272">
        <v>-6472.0602389232481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>
      <c r="A273" s="2">
        <v>271</v>
      </c>
      <c r="B273">
        <v>27008.953457856398</v>
      </c>
      <c r="C273" s="2">
        <v>0.5049678901190231</v>
      </c>
      <c r="D273">
        <v>-11859.916754285705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>
      <c r="A274" s="2">
        <v>272</v>
      </c>
      <c r="B274">
        <v>34556.322348564921</v>
      </c>
      <c r="C274" s="2">
        <v>0.4106800374614461</v>
      </c>
      <c r="D274">
        <v>-22235.92122472154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>
      <c r="A275" s="2">
        <v>273</v>
      </c>
      <c r="B275">
        <v>24936.946448940151</v>
      </c>
      <c r="C275" s="2">
        <v>0.57476750158352496</v>
      </c>
      <c r="D275">
        <v>-7693.9214014344034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>
      <c r="A276" s="2">
        <v>274</v>
      </c>
      <c r="B276">
        <v>25362.863663330558</v>
      </c>
      <c r="C276" s="2">
        <v>0.56805081101872212</v>
      </c>
      <c r="D276">
        <v>-8321.3393327688937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>
      <c r="A277" s="2">
        <v>275</v>
      </c>
      <c r="B277">
        <v>37750.861948462436</v>
      </c>
      <c r="C277" s="2">
        <v>0.90957786537257324</v>
      </c>
      <c r="D277">
        <v>-10463.52598728524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>
      <c r="A278" s="2">
        <v>276</v>
      </c>
      <c r="B278">
        <v>30152.248528411874</v>
      </c>
      <c r="C278" s="2">
        <v>0.54332965569801184</v>
      </c>
      <c r="D278">
        <v>-13852.35885747152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>
      <c r="A279" s="2">
        <v>277</v>
      </c>
      <c r="B279">
        <v>34416.695102301543</v>
      </c>
      <c r="C279" s="2">
        <v>0.74694640974477156</v>
      </c>
      <c r="D279">
        <v>-12008.302809958397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>
      <c r="A280" s="2">
        <v>278</v>
      </c>
      <c r="B280">
        <v>23261.016312747561</v>
      </c>
      <c r="C280" s="2">
        <v>0.54757030106712068</v>
      </c>
      <c r="D280">
        <v>-6833.9072807339398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>
      <c r="A281" s="2">
        <v>279</v>
      </c>
      <c r="B281">
        <v>30559.174991217049</v>
      </c>
      <c r="C281" s="2">
        <v>0.30763237826873313</v>
      </c>
      <c r="D281">
        <v>-21330.203643155055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>
      <c r="A282" s="2">
        <v>280</v>
      </c>
      <c r="B282">
        <v>43274.569732972384</v>
      </c>
      <c r="C282" s="2">
        <v>0.69883445720972981</v>
      </c>
      <c r="D282">
        <v>-22309.536016680489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>
      <c r="A283" s="2">
        <v>281</v>
      </c>
      <c r="B283">
        <v>34913.566881870473</v>
      </c>
      <c r="C283" s="2">
        <v>0.52482872413418113</v>
      </c>
      <c r="D283">
        <v>-19168.705157845041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>
      <c r="A284" s="2">
        <v>282</v>
      </c>
      <c r="B284">
        <v>25017.389454054544</v>
      </c>
      <c r="C284" s="2">
        <v>0.58769143812179347</v>
      </c>
      <c r="D284">
        <v>-7386.6463104007416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>
      <c r="A285" s="2">
        <v>283</v>
      </c>
      <c r="B285">
        <v>39033.281606812641</v>
      </c>
      <c r="C285" s="2">
        <v>0.78046649672478341</v>
      </c>
      <c r="D285">
        <v>-15619.286705069138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>
      <c r="A286" s="2">
        <v>284</v>
      </c>
      <c r="B286">
        <v>34013.075172111363</v>
      </c>
      <c r="C286" s="2">
        <v>0.63360695372919595</v>
      </c>
      <c r="D286">
        <v>-15004.866560235485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>
      <c r="A287" s="2">
        <v>285</v>
      </c>
      <c r="B287">
        <v>33410.403287267007</v>
      </c>
      <c r="C287" s="2">
        <v>0.92809045995953476</v>
      </c>
      <c r="D287">
        <v>-5567.6894884809626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>
      <c r="A288" s="2">
        <v>286</v>
      </c>
      <c r="B288">
        <v>46061.841387250854</v>
      </c>
      <c r="C288" s="2">
        <v>0.76254925263938356</v>
      </c>
      <c r="D288">
        <v>-23185.363808069345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>
      <c r="A289" s="2">
        <v>287</v>
      </c>
      <c r="B289">
        <v>40434.942897565932</v>
      </c>
      <c r="C289" s="2">
        <v>0.61605877886565241</v>
      </c>
      <c r="D289">
        <v>-21953.179531596361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>
      <c r="A290" s="2">
        <v>288</v>
      </c>
      <c r="B290">
        <v>25767.643629000231</v>
      </c>
      <c r="C290" s="2">
        <v>0.60220168179608868</v>
      </c>
      <c r="D290">
        <v>-7701.5931751175704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>
      <c r="A291" s="2">
        <v>289</v>
      </c>
      <c r="B291">
        <v>28909.546372348246</v>
      </c>
      <c r="C291" s="2">
        <v>0.72061067130071943</v>
      </c>
      <c r="D291">
        <v>-7291.2262333266626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>
      <c r="A292" s="2">
        <v>290</v>
      </c>
      <c r="B292">
        <v>32833.679333142994</v>
      </c>
      <c r="C292" s="2">
        <v>0.69448445885890009</v>
      </c>
      <c r="D292">
        <v>-11999.145567375992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>
      <c r="A293" s="2">
        <v>291</v>
      </c>
      <c r="B293">
        <v>20839.238472480087</v>
      </c>
      <c r="C293" s="2">
        <v>0.59803656698153129</v>
      </c>
      <c r="D293">
        <v>-2898.1414630341496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>
      <c r="A294" s="2">
        <v>292</v>
      </c>
      <c r="B294">
        <v>39010.345955964236</v>
      </c>
      <c r="C294" s="2">
        <v>0.97037308939275868</v>
      </c>
      <c r="D294">
        <v>-9899.1532741814772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>
      <c r="A295" s="2">
        <v>293</v>
      </c>
      <c r="B295">
        <v>42338.967992097569</v>
      </c>
      <c r="C295" s="2">
        <v>0.7533479088741406</v>
      </c>
      <c r="D295">
        <v>-19738.530725873352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>
      <c r="A296" s="2">
        <v>294</v>
      </c>
      <c r="B296">
        <v>40939.06030071924</v>
      </c>
      <c r="C296" s="2">
        <v>0.97019631989086208</v>
      </c>
      <c r="D296">
        <v>-11833.170703993379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>
      <c r="A297" s="2">
        <v>295</v>
      </c>
      <c r="B297">
        <v>19175.043170606696</v>
      </c>
      <c r="C297" s="2">
        <v>0.68387701199919859</v>
      </c>
      <c r="D297">
        <v>1341.2671893692604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>
      <c r="A298" s="2">
        <v>296</v>
      </c>
      <c r="B298">
        <v>35253.816763088682</v>
      </c>
      <c r="C298" s="2">
        <v>0.40780548496891633</v>
      </c>
      <c r="D298">
        <v>-23019.652214021193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>
      <c r="A299" s="2">
        <v>297</v>
      </c>
      <c r="B299">
        <v>30826.814865970278</v>
      </c>
      <c r="C299" s="2">
        <v>0.71061930054426869</v>
      </c>
      <c r="D299">
        <v>-9508.2358496422166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>
      <c r="A300" s="2">
        <v>298</v>
      </c>
      <c r="B300">
        <v>27187.294851037506</v>
      </c>
      <c r="C300" s="2">
        <v>0.99351109577189489</v>
      </c>
      <c r="D300">
        <v>2618.0380221193409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>
      <c r="A301" s="2">
        <v>299</v>
      </c>
      <c r="B301">
        <v>36792.833108479186</v>
      </c>
      <c r="C301" s="2">
        <v>0.43991999796772552</v>
      </c>
      <c r="D301">
        <v>-23595.23316944742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>
      <c r="A302" s="2">
        <v>300</v>
      </c>
      <c r="B302">
        <v>46618.787010966742</v>
      </c>
      <c r="C302" s="2">
        <v>0.73578247960032894</v>
      </c>
      <c r="D302">
        <v>-24545.312622956873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>
      <c r="A303" s="2">
        <v>301</v>
      </c>
      <c r="B303">
        <v>34625.77085881024</v>
      </c>
      <c r="C303" s="2">
        <v>0.53857623417287237</v>
      </c>
      <c r="D303">
        <v>-18468.483833624068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>
      <c r="A304" s="2">
        <v>302</v>
      </c>
      <c r="B304">
        <v>32976.783163036765</v>
      </c>
      <c r="C304" s="2">
        <v>0.73148312163582818</v>
      </c>
      <c r="D304">
        <v>-11032.289513961921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>
      <c r="A305" s="2">
        <v>303</v>
      </c>
      <c r="B305">
        <v>40554.251467591464</v>
      </c>
      <c r="C305" s="2">
        <v>0.51149952832199896</v>
      </c>
      <c r="D305">
        <v>-25209.265617931494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>
      <c r="A306" s="2">
        <v>304</v>
      </c>
      <c r="B306">
        <v>30599.444971393321</v>
      </c>
      <c r="C306" s="2">
        <v>0.75358831405377846</v>
      </c>
      <c r="D306">
        <v>-7991.7955497799667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>
      <c r="A307" s="2">
        <v>305</v>
      </c>
      <c r="B307">
        <v>48835.689276292884</v>
      </c>
      <c r="C307" s="2">
        <v>0.76227625146411726</v>
      </c>
      <c r="D307">
        <v>-25967.401732369366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>
      <c r="A308" s="2">
        <v>306</v>
      </c>
      <c r="B308">
        <v>51694.544396858146</v>
      </c>
      <c r="C308" s="2">
        <v>0.54657683880982688</v>
      </c>
      <c r="D308">
        <v>-35297.239232563341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>
      <c r="A309" s="2">
        <v>307</v>
      </c>
      <c r="B309">
        <v>33011.149316674113</v>
      </c>
      <c r="C309" s="2">
        <v>0.40027778067787101</v>
      </c>
      <c r="D309">
        <v>-21002.815896337983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>
      <c r="A310" s="2">
        <v>308</v>
      </c>
      <c r="B310">
        <v>30171.812322816324</v>
      </c>
      <c r="C310" s="2">
        <v>0.81628803258888727</v>
      </c>
      <c r="D310">
        <v>-5683.1713451497053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>
      <c r="A311" s="2">
        <v>309</v>
      </c>
      <c r="B311">
        <v>29072.379622000764</v>
      </c>
      <c r="C311" s="2">
        <v>0.81896963280781088</v>
      </c>
      <c r="D311">
        <v>-4503.2906377664367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>
      <c r="A312" s="2">
        <v>310</v>
      </c>
      <c r="B312">
        <v>25849.757808894879</v>
      </c>
      <c r="C312" s="2">
        <v>0.50633704314197092</v>
      </c>
      <c r="D312">
        <v>-10659.646514635751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>
      <c r="A313" s="2">
        <v>311</v>
      </c>
      <c r="B313">
        <v>49192.490368577834</v>
      </c>
      <c r="C313" s="2">
        <v>1.1821866769460618</v>
      </c>
      <c r="D313">
        <v>-13726.890060195976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>
      <c r="A314" s="2">
        <v>312</v>
      </c>
      <c r="B314">
        <v>33790.627294077989</v>
      </c>
      <c r="C314" s="2">
        <v>0.61370492575247382</v>
      </c>
      <c r="D314">
        <v>-15379.479521503774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>
      <c r="A315" s="2">
        <v>313</v>
      </c>
      <c r="B315">
        <v>36993.39647668587</v>
      </c>
      <c r="C315" s="2">
        <v>0.83353937770202147</v>
      </c>
      <c r="D315">
        <v>-11987.215145625225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>
      <c r="A316" s="2">
        <v>314</v>
      </c>
      <c r="B316">
        <v>39134.90238573416</v>
      </c>
      <c r="C316" s="2">
        <v>0.65141109121407181</v>
      </c>
      <c r="D316">
        <v>-19592.569649312005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>
      <c r="A317" s="2">
        <v>315</v>
      </c>
      <c r="B317">
        <v>38869.671198967721</v>
      </c>
      <c r="C317" s="2">
        <v>0.94317546795697682</v>
      </c>
      <c r="D317">
        <v>-10574.407160258415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>
      <c r="A318" s="2">
        <v>316</v>
      </c>
      <c r="B318">
        <v>41908.491019963803</v>
      </c>
      <c r="C318" s="2">
        <v>0.84509689804982324</v>
      </c>
      <c r="D318">
        <v>-16555.584078469106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>
      <c r="A319" s="2">
        <v>317</v>
      </c>
      <c r="B319">
        <v>26368.623734774432</v>
      </c>
      <c r="C319" s="2">
        <v>0.90006075401844599</v>
      </c>
      <c r="D319">
        <v>633.19888577894744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>
      <c r="A320" s="2">
        <v>318</v>
      </c>
      <c r="B320">
        <v>48367.571374149309</v>
      </c>
      <c r="C320" s="2">
        <v>0.68071629187786731</v>
      </c>
      <c r="D320">
        <v>-27946.082617813288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>
      <c r="A321" s="2">
        <v>319</v>
      </c>
      <c r="B321">
        <v>29573.858824092895</v>
      </c>
      <c r="C321" s="2">
        <v>0.85173116636510882</v>
      </c>
      <c r="D321">
        <v>-4021.92383313963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>
      <c r="A322" s="2">
        <v>320</v>
      </c>
      <c r="B322">
        <v>25980.814007753972</v>
      </c>
      <c r="C322" s="2">
        <v>0.74453666194873969</v>
      </c>
      <c r="D322">
        <v>-3644.7141492917799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>
      <c r="A323" s="2">
        <v>321</v>
      </c>
      <c r="B323">
        <v>40356.909808754681</v>
      </c>
      <c r="C323" s="2">
        <v>0.34922267887908065</v>
      </c>
      <c r="D323">
        <v>-29880.22944238226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>
      <c r="A324" s="2">
        <v>322</v>
      </c>
      <c r="B324">
        <v>24488.879098408936</v>
      </c>
      <c r="C324" s="2">
        <v>0.57073937052328438</v>
      </c>
      <c r="D324">
        <v>-7366.6979827104042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>
      <c r="A325" s="2">
        <v>323</v>
      </c>
      <c r="B325">
        <v>36462.722458709213</v>
      </c>
      <c r="C325" s="2">
        <v>0.71025391223685674</v>
      </c>
      <c r="D325">
        <v>-15155.105091603509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>
      <c r="A326" s="2">
        <v>324</v>
      </c>
      <c r="B326">
        <v>25351.729938940414</v>
      </c>
      <c r="C326" s="2">
        <v>0.77801050048218601</v>
      </c>
      <c r="D326">
        <v>-2011.4149244748332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>
      <c r="A327" s="2">
        <v>325</v>
      </c>
      <c r="B327">
        <v>29353.61641631931</v>
      </c>
      <c r="C327" s="2">
        <v>0.68352526218465282</v>
      </c>
      <c r="D327">
        <v>-8847.8585507797252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>
      <c r="A328" s="2">
        <v>326</v>
      </c>
      <c r="B328">
        <v>29821.931517339312</v>
      </c>
      <c r="C328" s="2">
        <v>0.64000870826517753</v>
      </c>
      <c r="D328">
        <v>-10621.670269383987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>
      <c r="A329" s="2">
        <v>327</v>
      </c>
      <c r="B329">
        <v>38924.136770884776</v>
      </c>
      <c r="C329" s="2">
        <v>0.71257024717190398</v>
      </c>
      <c r="D329">
        <v>-17547.029355727656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>
      <c r="A330" s="2">
        <v>328</v>
      </c>
      <c r="B330">
        <v>28077.66711072121</v>
      </c>
      <c r="C330" s="2">
        <v>0.25202638853578407</v>
      </c>
      <c r="D330">
        <v>-20516.875454647688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>
      <c r="A331" s="2">
        <v>329</v>
      </c>
      <c r="B331">
        <v>35959.622771721799</v>
      </c>
      <c r="C331" s="2">
        <v>0.99064164335108162</v>
      </c>
      <c r="D331">
        <v>-6240.3734711893485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>
      <c r="A332" s="2">
        <v>330</v>
      </c>
      <c r="B332">
        <v>26850.306669050791</v>
      </c>
      <c r="C332" s="2">
        <v>0.6070222690642979</v>
      </c>
      <c r="D332">
        <v>-8639.6385971218551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>
      <c r="A333" s="2">
        <v>331</v>
      </c>
      <c r="B333">
        <v>24945.321663614188</v>
      </c>
      <c r="C333" s="2">
        <v>0.49525603932531359</v>
      </c>
      <c r="D333">
        <v>-10087.640483854781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>
      <c r="A334" s="2">
        <v>332</v>
      </c>
      <c r="B334">
        <v>23415.047034737348</v>
      </c>
      <c r="C334" s="2">
        <v>0.58985586306922211</v>
      </c>
      <c r="D334">
        <v>-5719.371142660686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>
      <c r="A335" s="2">
        <v>333</v>
      </c>
      <c r="B335">
        <v>23151.719267041808</v>
      </c>
      <c r="C335" s="2">
        <v>0.6983296743247327</v>
      </c>
      <c r="D335">
        <v>-2201.8290372998272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>
      <c r="A336" s="2">
        <v>334</v>
      </c>
      <c r="B336">
        <v>48984.690609460653</v>
      </c>
      <c r="C336" s="2">
        <v>0.82370851328463646</v>
      </c>
      <c r="D336">
        <v>-24273.435210921558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>
      <c r="A337" s="2">
        <v>335</v>
      </c>
      <c r="B337">
        <v>30419.572253967766</v>
      </c>
      <c r="C337" s="2">
        <v>0.6690330784329892</v>
      </c>
      <c r="D337">
        <v>-10348.579900978089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>
      <c r="A338" s="2">
        <v>336</v>
      </c>
      <c r="B338">
        <v>43304.777891592923</v>
      </c>
      <c r="C338" s="2">
        <v>0.79176296841463656</v>
      </c>
      <c r="D338">
        <v>-19551.888839153828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>
      <c r="A339" s="2">
        <v>337</v>
      </c>
      <c r="B339">
        <v>19193.34045993178</v>
      </c>
      <c r="C339" s="2">
        <v>1.0720285071297873</v>
      </c>
      <c r="D339">
        <v>12967.514753961837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>
      <c r="A340" s="2">
        <v>338</v>
      </c>
      <c r="B340">
        <v>34587.296470802816</v>
      </c>
      <c r="C340" s="2">
        <v>0.48026753857243576</v>
      </c>
      <c r="D340">
        <v>-20179.270313629742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>
      <c r="A341" s="2">
        <v>339</v>
      </c>
      <c r="B341">
        <v>32694.604948947155</v>
      </c>
      <c r="C341" s="2">
        <v>0.69191723088365586</v>
      </c>
      <c r="D341">
        <v>-11937.088022437478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>
      <c r="A342" s="2">
        <v>340</v>
      </c>
      <c r="B342">
        <v>31362.810572681301</v>
      </c>
      <c r="C342" s="2">
        <v>0.63999090393682967</v>
      </c>
      <c r="D342">
        <v>-12163.083454576412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>
      <c r="A343" s="2">
        <v>341</v>
      </c>
      <c r="B343">
        <v>18933.361669164333</v>
      </c>
      <c r="C343" s="2">
        <v>0.32355632056016548</v>
      </c>
      <c r="D343">
        <v>-9226.6720523593685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>
      <c r="A344" s="2">
        <v>342</v>
      </c>
      <c r="B344">
        <v>28493.318198412024</v>
      </c>
      <c r="C344" s="2">
        <v>0.53459292381174062</v>
      </c>
      <c r="D344">
        <v>-12455.530484059806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>
      <c r="A345" s="2">
        <v>343</v>
      </c>
      <c r="B345">
        <v>37212.387264417368</v>
      </c>
      <c r="C345" s="2">
        <v>0.48901495668760608</v>
      </c>
      <c r="D345">
        <v>-22541.938563789183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>
      <c r="A346" s="2">
        <v>344</v>
      </c>
      <c r="B346">
        <v>37514.863208274219</v>
      </c>
      <c r="C346" s="2">
        <v>0.65757910964474853</v>
      </c>
      <c r="D346">
        <v>-17787.489918931762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>
      <c r="A347" s="2">
        <v>345</v>
      </c>
      <c r="B347">
        <v>38440.015632743241</v>
      </c>
      <c r="C347" s="2">
        <v>0.82299767987718964</v>
      </c>
      <c r="D347">
        <v>-13750.085236427552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>
      <c r="A348" s="2">
        <v>346</v>
      </c>
      <c r="B348">
        <v>18547.490268977424</v>
      </c>
      <c r="C348" s="2">
        <v>0.39218632013408827</v>
      </c>
      <c r="D348">
        <v>-6781.9006649547755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>
      <c r="A349" s="2">
        <v>347</v>
      </c>
      <c r="B349">
        <v>39777.263054703326</v>
      </c>
      <c r="C349" s="2">
        <v>0.62154902786577293</v>
      </c>
      <c r="D349">
        <v>-21130.792218730137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>
      <c r="A350" s="2">
        <v>348</v>
      </c>
      <c r="B350">
        <v>24471.119168403886</v>
      </c>
      <c r="C350" s="2">
        <v>0.37857502316168046</v>
      </c>
      <c r="D350">
        <v>-13113.868473553472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>
      <c r="A351" s="2">
        <v>349</v>
      </c>
      <c r="B351">
        <v>35004.661952918737</v>
      </c>
      <c r="C351" s="2">
        <v>0.90166673318032564</v>
      </c>
      <c r="D351">
        <v>-7954.6599575089676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>
      <c r="A352" s="2">
        <v>350</v>
      </c>
      <c r="B352">
        <v>26601.329316355863</v>
      </c>
      <c r="C352" s="2">
        <v>0.50993617476761943</v>
      </c>
      <c r="D352">
        <v>-11303.24407332728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>
      <c r="A353" s="2">
        <v>351</v>
      </c>
      <c r="B353">
        <v>24928.181597552793</v>
      </c>
      <c r="C353" s="2">
        <v>0.5397181435015701</v>
      </c>
      <c r="D353">
        <v>-8736.6372925056912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>
      <c r="A354" s="2">
        <v>352</v>
      </c>
      <c r="B354">
        <v>25445.212713943663</v>
      </c>
      <c r="C354" s="2">
        <v>0.60255483897141926</v>
      </c>
      <c r="D354">
        <v>-7368.5675448010843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>
      <c r="A355" s="2">
        <v>353</v>
      </c>
      <c r="B355">
        <v>34400.807892504767</v>
      </c>
      <c r="C355" s="2">
        <v>0.19891518630403726</v>
      </c>
      <c r="D355">
        <v>-28433.35230338365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>
      <c r="A356" s="2">
        <v>354</v>
      </c>
      <c r="B356">
        <v>38475.011441021838</v>
      </c>
      <c r="C356" s="2">
        <v>0.60256469463731732</v>
      </c>
      <c r="D356">
        <v>-20398.070601902316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>
      <c r="A357" s="2">
        <v>355</v>
      </c>
      <c r="B357">
        <v>47145.379044252826</v>
      </c>
      <c r="C357" s="2">
        <v>0.69074872468593629</v>
      </c>
      <c r="D357">
        <v>-26422.917303674738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>
      <c r="A358" s="2">
        <v>356</v>
      </c>
      <c r="B358">
        <v>34702.390507394477</v>
      </c>
      <c r="C358" s="2">
        <v>0.7545879407547702</v>
      </c>
      <c r="D358">
        <v>-12064.752284751372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>
      <c r="A359" s="2">
        <v>357</v>
      </c>
      <c r="B359">
        <v>47072.9636507783</v>
      </c>
      <c r="C359" s="2">
        <v>0.86115360367750227</v>
      </c>
      <c r="D359">
        <v>-21238.355540453231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>
        <v>358</v>
      </c>
      <c r="B360">
        <v>36532.552986776602</v>
      </c>
      <c r="C360" s="2">
        <v>0.64188070592992008</v>
      </c>
      <c r="D360">
        <v>-17276.131808878999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>
        <v>359</v>
      </c>
      <c r="B361">
        <v>33473.595740120792</v>
      </c>
      <c r="C361" s="2">
        <v>0.58939363996127736</v>
      </c>
      <c r="D361">
        <v>-15791.786541282472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>
      <c r="A362" s="2">
        <v>360</v>
      </c>
      <c r="B362">
        <v>29721.51300961557</v>
      </c>
      <c r="C362" s="2">
        <v>0.528582178407067</v>
      </c>
      <c r="D362">
        <v>-13864.04765740356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>
      <c r="A363" s="2">
        <v>361</v>
      </c>
      <c r="B363">
        <v>26878.752416582749</v>
      </c>
      <c r="C363" s="2">
        <v>0.30226856130918089</v>
      </c>
      <c r="D363">
        <v>-17810.69557730732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>
      <c r="A364" s="2">
        <v>362</v>
      </c>
      <c r="B364">
        <v>40774.913582860812</v>
      </c>
      <c r="C364" s="2">
        <v>0.54394482652650211</v>
      </c>
      <c r="D364">
        <v>-24456.568787065749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>
      <c r="A365" s="2">
        <v>363</v>
      </c>
      <c r="B365">
        <v>36305.898016337436</v>
      </c>
      <c r="C365" s="2">
        <v>1.14668644645158</v>
      </c>
      <c r="D365">
        <v>-1905.304622790034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>
      <c r="A366" s="2">
        <v>364</v>
      </c>
      <c r="B366">
        <v>29250.368427959256</v>
      </c>
      <c r="C366" s="2">
        <v>0.69322326513465549</v>
      </c>
      <c r="D366">
        <v>-8453.670473919592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>
      <c r="A367" s="2">
        <v>365</v>
      </c>
      <c r="B367">
        <v>29079.640361671656</v>
      </c>
      <c r="C367" s="2">
        <v>0.38724261463750276</v>
      </c>
      <c r="D367">
        <v>-17462.361922546574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>
      <c r="A368" s="2">
        <v>366</v>
      </c>
      <c r="B368">
        <v>47538.113774504491</v>
      </c>
      <c r="C368" s="2">
        <v>0.96513976015170866</v>
      </c>
      <c r="D368">
        <v>-18583.920969953229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>
      <c r="A369" s="2">
        <v>367</v>
      </c>
      <c r="B369">
        <v>40354.081537633472</v>
      </c>
      <c r="C369" s="2">
        <v>1.103842857253553</v>
      </c>
      <c r="D369">
        <v>-7238.795820026884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>
      <c r="A370" s="2">
        <v>368</v>
      </c>
      <c r="B370">
        <v>46188.554978084387</v>
      </c>
      <c r="C370" s="2">
        <v>0.50724626469617551</v>
      </c>
      <c r="D370">
        <v>-30971.16703719912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>
      <c r="A371" s="2">
        <v>369</v>
      </c>
      <c r="B371">
        <v>54428.099992048126</v>
      </c>
      <c r="C371" s="2">
        <v>0.41454289441053493</v>
      </c>
      <c r="D371">
        <v>-41991.813159732075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>
      <c r="A372" s="2">
        <v>370</v>
      </c>
      <c r="B372">
        <v>12481.881993865129</v>
      </c>
      <c r="C372" s="2">
        <v>8.1706610708574434E-2</v>
      </c>
      <c r="D372">
        <v>-10030.683672607895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>
      <c r="A373" s="2">
        <v>371</v>
      </c>
      <c r="B373">
        <v>35035.498030684961</v>
      </c>
      <c r="C373" s="2">
        <v>0.4489613180748655</v>
      </c>
      <c r="D373">
        <v>-21566.658488438996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>
      <c r="A374" s="2">
        <v>372</v>
      </c>
      <c r="B374">
        <v>51849.816822581444</v>
      </c>
      <c r="C374" s="2">
        <v>0.96819627425852062</v>
      </c>
      <c r="D374">
        <v>-22803.928594825826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>
      <c r="A375" s="2">
        <v>373</v>
      </c>
      <c r="B375">
        <v>39205.214453807981</v>
      </c>
      <c r="C375" s="2">
        <v>0.90992368768460152</v>
      </c>
      <c r="D375">
        <v>-11907.503823269937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>
      <c r="A376" s="2">
        <v>374</v>
      </c>
      <c r="B376">
        <v>40586.995311359671</v>
      </c>
      <c r="C376" s="2">
        <v>0.79195100568748056</v>
      </c>
      <c r="D376">
        <v>-16828.465140735254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>
      <c r="A377" s="2">
        <v>375</v>
      </c>
      <c r="B377">
        <v>35331.621178833549</v>
      </c>
      <c r="C377" s="2">
        <v>0.47345491243721582</v>
      </c>
      <c r="D377">
        <v>-21127.973805717076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>
      <c r="A378" s="2">
        <v>376</v>
      </c>
      <c r="B378">
        <v>42543.723846854366</v>
      </c>
      <c r="C378" s="2">
        <v>0.99558715984284096</v>
      </c>
      <c r="D378">
        <v>-12676.109051569136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>
      <c r="A379" s="2">
        <v>377</v>
      </c>
      <c r="B379">
        <v>36070.409736689762</v>
      </c>
      <c r="C379" s="2">
        <v>0.74010269606093759</v>
      </c>
      <c r="D379">
        <v>-13867.328854861633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>
      <c r="A380" s="2">
        <v>378</v>
      </c>
      <c r="B380">
        <v>30911.273476731491</v>
      </c>
      <c r="C380" s="2">
        <v>0.71988935334532989</v>
      </c>
      <c r="D380">
        <v>-9314.5928763715929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>
      <c r="A381" s="2">
        <v>379</v>
      </c>
      <c r="B381">
        <v>38953.431621727294</v>
      </c>
      <c r="C381" s="2">
        <v>0.49477727967375817</v>
      </c>
      <c r="D381">
        <v>-24110.113231514548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>
      <c r="A382" s="2">
        <v>380</v>
      </c>
      <c r="B382">
        <v>34690.098306355409</v>
      </c>
      <c r="C382" s="2">
        <v>0.76440936828443862</v>
      </c>
      <c r="D382">
        <v>-11757.817257822251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>
      <c r="A383" s="2">
        <v>381</v>
      </c>
      <c r="B383">
        <v>20822.789947505153</v>
      </c>
      <c r="C383" s="2">
        <v>0.3476992995115753</v>
      </c>
      <c r="D383">
        <v>-10391.810962157893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>
      <c r="A384" s="2">
        <v>382</v>
      </c>
      <c r="B384">
        <v>30739.938278256508</v>
      </c>
      <c r="C384" s="2">
        <v>0.72175974160946654</v>
      </c>
      <c r="D384">
        <v>-9087.1460299725113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>
      <c r="A385" s="2">
        <v>383</v>
      </c>
      <c r="B385">
        <v>28328.789531311137</v>
      </c>
      <c r="C385" s="2">
        <v>0.63389718195227895</v>
      </c>
      <c r="D385">
        <v>-9311.8740727427685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>
      <c r="A386" s="2">
        <v>384</v>
      </c>
      <c r="B386">
        <v>34891.743277491041</v>
      </c>
      <c r="C386" s="2">
        <v>0.33140361214620939</v>
      </c>
      <c r="D386">
        <v>-24949.634913104761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>
      <c r="A387" s="2">
        <v>385</v>
      </c>
      <c r="B387">
        <v>29310.830253539069</v>
      </c>
      <c r="C387" s="2">
        <v>0.39514041190487559</v>
      </c>
      <c r="D387">
        <v>-17456.617896392803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>
      <c r="A388" s="2">
        <v>386</v>
      </c>
      <c r="B388">
        <v>17699.381052388795</v>
      </c>
      <c r="C388" s="2">
        <v>0.74434886145694845</v>
      </c>
      <c r="D388">
        <v>4631.0847913196594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>
      <c r="A389" s="2">
        <v>387</v>
      </c>
      <c r="B389">
        <v>35735.060243884174</v>
      </c>
      <c r="C389" s="2">
        <v>0.64890126030594431</v>
      </c>
      <c r="D389">
        <v>-16268.022434705847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>
      <c r="A390" s="2">
        <v>388</v>
      </c>
      <c r="B390">
        <v>30709.784073762465</v>
      </c>
      <c r="C390" s="2">
        <v>0.43992213728546692</v>
      </c>
      <c r="D390">
        <v>-17512.119955198457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>
      <c r="A391" s="2">
        <v>389</v>
      </c>
      <c r="B391">
        <v>38276.549568690185</v>
      </c>
      <c r="C391" s="2">
        <v>0.61998161692303655</v>
      </c>
      <c r="D391">
        <v>-19677.101060999088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>
      <c r="A392" s="2">
        <v>390</v>
      </c>
      <c r="B392">
        <v>45129.670339564706</v>
      </c>
      <c r="C392" s="2">
        <v>0.22201942086449566</v>
      </c>
      <c r="D392">
        <v>-38469.087713629837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>
      <c r="A393" s="2">
        <v>391</v>
      </c>
      <c r="B393">
        <v>36637.364846649005</v>
      </c>
      <c r="C393" s="2">
        <v>0.61740273553968117</v>
      </c>
      <c r="D393">
        <v>-18115.282780458569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>
      <c r="A394" s="2">
        <v>392</v>
      </c>
      <c r="B394">
        <v>33214.490095637841</v>
      </c>
      <c r="C394" s="2">
        <v>0.76482349791253013</v>
      </c>
      <c r="D394">
        <v>-10269.785158261937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>
      <c r="A395" s="2">
        <v>393</v>
      </c>
      <c r="B395">
        <v>38327.948589189553</v>
      </c>
      <c r="C395" s="2">
        <v>0.29025489036459362</v>
      </c>
      <c r="D395">
        <v>-29620.301878251747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>
      <c r="A396" s="2">
        <v>394</v>
      </c>
      <c r="B396">
        <v>35422.513088629959</v>
      </c>
      <c r="C396" s="2">
        <v>0.79635628023618543</v>
      </c>
      <c r="D396">
        <v>-11531.824681544396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>
      <c r="A397" s="2">
        <v>395</v>
      </c>
      <c r="B397">
        <v>28378.779435583798</v>
      </c>
      <c r="C397" s="2">
        <v>0.62632160725641239</v>
      </c>
      <c r="D397">
        <v>-9589.1312178914268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>
      <c r="A398" s="2">
        <v>396</v>
      </c>
      <c r="B398">
        <v>37082.58374064567</v>
      </c>
      <c r="C398" s="2">
        <v>0.69773341710758818</v>
      </c>
      <c r="D398">
        <v>-16150.581227418024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>
      <c r="A399" s="2">
        <v>397</v>
      </c>
      <c r="B399">
        <v>53589.037324108111</v>
      </c>
      <c r="C399" s="2">
        <v>0.76534033764919185</v>
      </c>
      <c r="D399">
        <v>-30628.827194632355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>
      <c r="A400" s="2">
        <v>398</v>
      </c>
      <c r="B400">
        <v>40040.619205863477</v>
      </c>
      <c r="C400" s="2">
        <v>0.58125363002506414</v>
      </c>
      <c r="D400">
        <v>-22603.010305111551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>
      <c r="A401" s="2">
        <v>399</v>
      </c>
      <c r="B401">
        <v>43179.862272946644</v>
      </c>
      <c r="C401" s="2">
        <v>0.378666852248011</v>
      </c>
      <c r="D401">
        <v>-31819.856705506314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>
      <c r="A402" s="2">
        <v>400</v>
      </c>
      <c r="B402">
        <v>37897.556152945181</v>
      </c>
      <c r="C402" s="2">
        <v>0.40574233524439363</v>
      </c>
      <c r="D402">
        <v>-25725.286095613374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>
      <c r="A403" s="2">
        <v>401</v>
      </c>
      <c r="B403">
        <v>34807.42383145864</v>
      </c>
      <c r="C403" s="2">
        <v>0.4288279870264613</v>
      </c>
      <c r="D403">
        <v>-21942.584220664801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>
      <c r="A404" s="2">
        <v>402</v>
      </c>
      <c r="B404">
        <v>28909.2849803114</v>
      </c>
      <c r="C404" s="2">
        <v>0.51062007445478153</v>
      </c>
      <c r="D404">
        <v>-13590.682746667955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>
      <c r="A405" s="2">
        <v>403</v>
      </c>
      <c r="B405">
        <v>39204.31348232169</v>
      </c>
      <c r="C405" s="2">
        <v>0.93140013245834896</v>
      </c>
      <c r="D405">
        <v>-11262.309508571219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>
      <c r="A406" s="2">
        <v>404</v>
      </c>
      <c r="B406">
        <v>40252.782552875717</v>
      </c>
      <c r="C406" s="2">
        <v>0.93783252277047113</v>
      </c>
      <c r="D406">
        <v>-12117.806869761582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>
      <c r="A407" s="2">
        <v>405</v>
      </c>
      <c r="B407">
        <v>41747.909917279219</v>
      </c>
      <c r="C407" s="2">
        <v>0.55715107594842372</v>
      </c>
      <c r="D407">
        <v>-25033.377638826507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>
      <c r="A408" s="2">
        <v>406</v>
      </c>
      <c r="B408">
        <v>23483.760584268472</v>
      </c>
      <c r="C408" s="2">
        <v>0.50980809162135254</v>
      </c>
      <c r="D408">
        <v>-8189.5178356278957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>
      <c r="A409" s="2">
        <v>407</v>
      </c>
      <c r="B409">
        <v>42376.313027870528</v>
      </c>
      <c r="C409" s="2">
        <v>0.93723944379345747</v>
      </c>
      <c r="D409">
        <v>-14259.129714066803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>
      <c r="A410" s="2">
        <v>408</v>
      </c>
      <c r="B410">
        <v>42894.259046003273</v>
      </c>
      <c r="C410" s="2">
        <v>0.56255711296148969</v>
      </c>
      <c r="D410">
        <v>-26017.545657158582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>
      <c r="A411" s="2">
        <v>409</v>
      </c>
      <c r="B411">
        <v>30397.113296926866</v>
      </c>
      <c r="C411" s="2">
        <v>0.8144179764290731</v>
      </c>
      <c r="D411">
        <v>-5964.5740040546734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>
      <c r="A412" s="2">
        <v>410</v>
      </c>
      <c r="B412">
        <v>40090.251219879334</v>
      </c>
      <c r="C412" s="2">
        <v>0.70832211521371025</v>
      </c>
      <c r="D412">
        <v>-18840.587763468026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>
      <c r="A413" s="2">
        <v>411</v>
      </c>
      <c r="B413">
        <v>38559.970870112229</v>
      </c>
      <c r="C413" s="2">
        <v>1.0460526059372306</v>
      </c>
      <c r="D413">
        <v>-7178.3926919953119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>
      <c r="A414" s="2">
        <v>412</v>
      </c>
      <c r="B414">
        <v>33973.224088560783</v>
      </c>
      <c r="C414" s="2">
        <v>0.32633105274712726</v>
      </c>
      <c r="D414">
        <v>-24183.292506146965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>
      <c r="A415" s="2">
        <v>413</v>
      </c>
      <c r="B415">
        <v>27011.621360065605</v>
      </c>
      <c r="C415" s="2">
        <v>0.77862444436109191</v>
      </c>
      <c r="D415">
        <v>-3652.8880292328467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>
      <c r="A416" s="2">
        <v>414</v>
      </c>
      <c r="B416">
        <v>43372.623712284796</v>
      </c>
      <c r="C416" s="2">
        <v>0.42284261333679884</v>
      </c>
      <c r="D416">
        <v>-30687.345312180831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>
      <c r="A417" s="2">
        <v>415</v>
      </c>
      <c r="B417">
        <v>46143.801910643597</v>
      </c>
      <c r="C417" s="2">
        <v>0.43395593181025682</v>
      </c>
      <c r="D417">
        <v>-33125.12395633589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>
      <c r="A418" s="2">
        <v>416</v>
      </c>
      <c r="B418">
        <v>44372.548626159689</v>
      </c>
      <c r="C418" s="2">
        <v>0.54262762359232508</v>
      </c>
      <c r="D418">
        <v>-28093.719918389936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>
      <c r="A419" s="2">
        <v>417</v>
      </c>
      <c r="B419">
        <v>33103.503125799951</v>
      </c>
      <c r="C419" s="2">
        <v>0.61973934761510674</v>
      </c>
      <c r="D419">
        <v>-14511.32269734675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>
      <c r="A420" s="2">
        <v>418</v>
      </c>
      <c r="B420">
        <v>35415.345930318188</v>
      </c>
      <c r="C420" s="2">
        <v>0.44930577778748138</v>
      </c>
      <c r="D420">
        <v>-21936.172596693745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>
      <c r="A421" s="2">
        <v>419</v>
      </c>
      <c r="B421">
        <v>18120.174248962656</v>
      </c>
      <c r="C421" s="2">
        <v>0.55476911554038599</v>
      </c>
      <c r="D421">
        <v>-1477.1007827510766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>
      <c r="A422" s="2">
        <v>420</v>
      </c>
      <c r="B422">
        <v>36155.795248968396</v>
      </c>
      <c r="C422" s="2">
        <v>0.62508266971207727</v>
      </c>
      <c r="D422">
        <v>-17403.315157606077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>
      <c r="A423" s="2">
        <v>421</v>
      </c>
      <c r="B423">
        <v>30672.543048152336</v>
      </c>
      <c r="C423" s="2">
        <v>0.71165114660296847</v>
      </c>
      <c r="D423">
        <v>-9323.0086500632824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>
      <c r="A424" s="2">
        <v>422</v>
      </c>
      <c r="B424">
        <v>29916.051512422055</v>
      </c>
      <c r="C424" s="2">
        <v>9.6169391206654353E-2</v>
      </c>
      <c r="D424">
        <v>-27030.969776222424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>
      <c r="A425" s="2">
        <v>423</v>
      </c>
      <c r="B425">
        <v>39630.56600097593</v>
      </c>
      <c r="C425" s="2">
        <v>0.60513504198440571</v>
      </c>
      <c r="D425">
        <v>-21476.51474144376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>
      <c r="A426" s="2">
        <v>424</v>
      </c>
      <c r="B426">
        <v>42932.284297536607</v>
      </c>
      <c r="C426" s="2">
        <v>0.79828729997688153</v>
      </c>
      <c r="D426">
        <v>-18983.66529823016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>
      <c r="A427" s="2">
        <v>425</v>
      </c>
      <c r="B427">
        <v>32255.653319905156</v>
      </c>
      <c r="C427" s="2">
        <v>0.43218129117936632</v>
      </c>
      <c r="D427">
        <v>-19290.214584524168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>
      <c r="A428" s="2">
        <v>426</v>
      </c>
      <c r="B428">
        <v>33851.503897075854</v>
      </c>
      <c r="C428" s="2">
        <v>0.35732296156426036</v>
      </c>
      <c r="D428">
        <v>-23131.815050148041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>
      <c r="A429" s="2">
        <v>427</v>
      </c>
      <c r="B429">
        <v>35849.711886812256</v>
      </c>
      <c r="C429" s="2">
        <v>1.2288767942616279</v>
      </c>
      <c r="D429">
        <v>1016.5919410365823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>
      <c r="A430" s="2">
        <v>428</v>
      </c>
      <c r="B430">
        <v>25227.56334863582</v>
      </c>
      <c r="C430" s="2">
        <v>0.46496303369628622</v>
      </c>
      <c r="D430">
        <v>-11278.672337747234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>
      <c r="A431" s="2">
        <v>429</v>
      </c>
      <c r="B431">
        <v>30103.657073000446</v>
      </c>
      <c r="C431" s="2">
        <v>0.37664944439543668</v>
      </c>
      <c r="D431">
        <v>-18804.173741137347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>
      <c r="A432" s="2">
        <v>430</v>
      </c>
      <c r="B432">
        <v>30737.841699251723</v>
      </c>
      <c r="C432" s="2">
        <v>0.64956918778517014</v>
      </c>
      <c r="D432">
        <v>-11250.766065696618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>
      <c r="A433" s="2">
        <v>431</v>
      </c>
      <c r="B433">
        <v>34584.128978239009</v>
      </c>
      <c r="C433" s="2">
        <v>0.45233984618293732</v>
      </c>
      <c r="D433">
        <v>-21013.933592750887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>
      <c r="A434" s="2">
        <v>432</v>
      </c>
      <c r="B434">
        <v>48759.08785931993</v>
      </c>
      <c r="C434" s="2">
        <v>0.99796806370404423</v>
      </c>
      <c r="D434">
        <v>-18820.045948198604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>
      <c r="A435" s="2">
        <v>433</v>
      </c>
      <c r="B435">
        <v>44856.418087916834</v>
      </c>
      <c r="C435" s="2">
        <v>0.86712731745282534</v>
      </c>
      <c r="D435">
        <v>-18842.598564332075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>
      <c r="A436" s="2">
        <v>434</v>
      </c>
      <c r="B436">
        <v>48054.447083196901</v>
      </c>
      <c r="C436" s="2">
        <v>0.86517846874648785</v>
      </c>
      <c r="D436">
        <v>-22099.093020802266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>
      <c r="A437" s="2">
        <v>435</v>
      </c>
      <c r="B437">
        <v>38167.234371252467</v>
      </c>
      <c r="C437" s="2">
        <v>0.66066000537966318</v>
      </c>
      <c r="D437">
        <v>-18347.434209862571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>
      <c r="A438" s="2">
        <v>436</v>
      </c>
      <c r="B438">
        <v>41946.168523609704</v>
      </c>
      <c r="C438" s="2">
        <v>0.8229188867300874</v>
      </c>
      <c r="D438">
        <v>-17258.601921707083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>
      <c r="A439" s="2">
        <v>437</v>
      </c>
      <c r="B439">
        <v>35081.659254649836</v>
      </c>
      <c r="C439" s="2">
        <v>0.72185577685645375</v>
      </c>
      <c r="D439">
        <v>-13425.985948956222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>
      <c r="A440" s="2">
        <v>438</v>
      </c>
      <c r="B440">
        <v>26020.397919443472</v>
      </c>
      <c r="C440" s="2">
        <v>0.49086970571338306</v>
      </c>
      <c r="D440">
        <v>-11294.30674804198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>
      <c r="A441" s="2">
        <v>439</v>
      </c>
      <c r="B441">
        <v>32833.001181084794</v>
      </c>
      <c r="C441" s="2">
        <v>0.70241360137717535</v>
      </c>
      <c r="D441">
        <v>-11760.593139769535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>
      <c r="A442" s="2">
        <v>440</v>
      </c>
      <c r="B442">
        <v>30157.122052768071</v>
      </c>
      <c r="C442" s="2">
        <v>0.80864964429116282</v>
      </c>
      <c r="D442">
        <v>-5897.6327240331848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>
      <c r="A443" s="2">
        <v>441</v>
      </c>
      <c r="B443">
        <v>37115.281419405743</v>
      </c>
      <c r="C443" s="2">
        <v>0.7504252556754698</v>
      </c>
      <c r="D443">
        <v>-14602.523749141648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>
      <c r="A444" s="2">
        <v>442</v>
      </c>
      <c r="B444">
        <v>30977.818291066462</v>
      </c>
      <c r="C444" s="2">
        <v>0.63929254288726667</v>
      </c>
      <c r="D444">
        <v>-11799.042004448464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>
      <c r="A445" s="2">
        <v>443</v>
      </c>
      <c r="B445">
        <v>19424.40794577128</v>
      </c>
      <c r="C445" s="2">
        <v>0.63719696715636975</v>
      </c>
      <c r="D445">
        <v>-308.49893108018659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>
      <c r="A446" s="2">
        <v>444</v>
      </c>
      <c r="B446">
        <v>31087.145607872488</v>
      </c>
      <c r="C446" s="2">
        <v>0.47420038633128381</v>
      </c>
      <c r="D446">
        <v>-16861.134017933975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>
      <c r="A447" s="2">
        <v>445</v>
      </c>
      <c r="B447">
        <v>37983.777476510702</v>
      </c>
      <c r="C447" s="2">
        <v>0.82552752150104447</v>
      </c>
      <c r="D447">
        <v>-13217.951831479368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>
      <c r="A448" s="2">
        <v>446</v>
      </c>
      <c r="B448">
        <v>53141.725060002158</v>
      </c>
      <c r="C448" s="2">
        <v>0.43789168293396097</v>
      </c>
      <c r="D448">
        <v>-40004.97457198333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>
      <c r="A449" s="2">
        <v>447</v>
      </c>
      <c r="B449">
        <v>46553.071431425022</v>
      </c>
      <c r="C449" s="2">
        <v>0.80879480239683788</v>
      </c>
      <c r="D449">
        <v>-22289.227359519886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>
      <c r="A450" s="2">
        <v>448</v>
      </c>
      <c r="B450">
        <v>26286.355902099946</v>
      </c>
      <c r="C450" s="2">
        <v>0.3680045188911818</v>
      </c>
      <c r="D450">
        <v>-15246.220335364491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>
      <c r="A451" s="2">
        <v>449</v>
      </c>
      <c r="B451">
        <v>39768.533654094143</v>
      </c>
      <c r="C451" s="2">
        <v>0.61939866905385643</v>
      </c>
      <c r="D451">
        <v>-21186.57358247845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>
      <c r="A452" s="2">
        <v>450</v>
      </c>
      <c r="B452">
        <v>41853.266458408878</v>
      </c>
      <c r="C452" s="2">
        <v>0.57015467665811537</v>
      </c>
      <c r="D452">
        <v>-24748.626158665418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>
      <c r="A453" s="2">
        <v>451</v>
      </c>
      <c r="B453">
        <v>28261.884425930395</v>
      </c>
      <c r="C453" s="2">
        <v>0.77570061807371604</v>
      </c>
      <c r="D453">
        <v>-4990.8658837189141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>
      <c r="A454" s="2">
        <v>452</v>
      </c>
      <c r="B454">
        <v>34834.213707832678</v>
      </c>
      <c r="C454" s="2">
        <v>0.84839053607920989</v>
      </c>
      <c r="D454">
        <v>-9382.4976254563808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>
      <c r="A455" s="2">
        <v>453</v>
      </c>
      <c r="B455">
        <v>51848.50688362676</v>
      </c>
      <c r="C455" s="2">
        <v>0.68395862464275026</v>
      </c>
      <c r="D455">
        <v>-31329.748144344252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>
      <c r="A456" s="2">
        <v>454</v>
      </c>
      <c r="B456">
        <v>35685.923030058628</v>
      </c>
      <c r="C456" s="2">
        <v>0.56615799264596678</v>
      </c>
      <c r="D456">
        <v>-18701.183250679624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>
      <c r="A457" s="2">
        <v>455</v>
      </c>
      <c r="B457">
        <v>20431.145778033053</v>
      </c>
      <c r="C457" s="2">
        <v>0.66035039949782859</v>
      </c>
      <c r="D457">
        <v>-620.63379309819356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>
      <c r="A458" s="2">
        <v>456</v>
      </c>
      <c r="B458">
        <v>30230.454380259289</v>
      </c>
      <c r="C458" s="2">
        <v>0.77390731366179777</v>
      </c>
      <c r="D458">
        <v>-7013.2349704053559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>
      <c r="A459" s="2">
        <v>457</v>
      </c>
      <c r="B459">
        <v>41199.977476399523</v>
      </c>
      <c r="C459" s="2">
        <v>0.60265345538854587</v>
      </c>
      <c r="D459">
        <v>-23120.373814743147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>
      <c r="A460" s="2">
        <v>458</v>
      </c>
      <c r="B460">
        <v>37461.888348880733</v>
      </c>
      <c r="C460" s="2">
        <v>0.81045122397525193</v>
      </c>
      <c r="D460">
        <v>-13148.351629623176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>
      <c r="A461" s="2">
        <v>459</v>
      </c>
      <c r="B461">
        <v>48755.868068105701</v>
      </c>
      <c r="C461" s="2">
        <v>0.65398856620939227</v>
      </c>
      <c r="D461">
        <v>-29136.211081823934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>
      <c r="A462" s="2">
        <v>460</v>
      </c>
      <c r="B462">
        <v>45358.401602717255</v>
      </c>
      <c r="C462" s="2">
        <v>0.58756002984605793</v>
      </c>
      <c r="D462">
        <v>-27731.600707335518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>
      <c r="A463" s="2">
        <v>461</v>
      </c>
      <c r="B463">
        <v>37610.230227012318</v>
      </c>
      <c r="C463" s="2">
        <v>0.47582529834102139</v>
      </c>
      <c r="D463">
        <v>-23335.471276781675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>
      <c r="A464" s="2">
        <v>462</v>
      </c>
      <c r="B464">
        <v>29340.580387516951</v>
      </c>
      <c r="C464" s="2">
        <v>0.24701172981815467</v>
      </c>
      <c r="D464">
        <v>-21930.22849297231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>
      <c r="A465" s="2">
        <v>463</v>
      </c>
      <c r="B465">
        <v>35246.460387446743</v>
      </c>
      <c r="C465" s="2">
        <v>0.75470592335089548</v>
      </c>
      <c r="D465">
        <v>-12605.28268691988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>
      <c r="A466" s="2">
        <v>464</v>
      </c>
      <c r="B466">
        <v>32905.616700176572</v>
      </c>
      <c r="C466" s="2">
        <v>0.75588952689774236</v>
      </c>
      <c r="D466">
        <v>-10228.930893244302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>
      <c r="A467" s="2">
        <v>465</v>
      </c>
      <c r="B467">
        <v>31589.133337478321</v>
      </c>
      <c r="C467" s="2">
        <v>0.40284401829583594</v>
      </c>
      <c r="D467">
        <v>-19503.812788603245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>
      <c r="A468" s="2">
        <v>466</v>
      </c>
      <c r="B468">
        <v>27103.457670898351</v>
      </c>
      <c r="C468" s="2">
        <v>0.87957757290892968</v>
      </c>
      <c r="D468">
        <v>-716.13048363046255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>
      <c r="A469" s="2">
        <v>467</v>
      </c>
      <c r="B469">
        <v>26003.889567263621</v>
      </c>
      <c r="C469" s="2">
        <v>0.57146735926932535</v>
      </c>
      <c r="D469">
        <v>-8859.8687891838599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>
      <c r="A470" s="2">
        <v>468</v>
      </c>
      <c r="B470">
        <v>42036.996061981437</v>
      </c>
      <c r="C470" s="2">
        <v>0.46224642189403697</v>
      </c>
      <c r="D470">
        <v>-28169.603405160327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>
      <c r="A471" s="2">
        <v>469</v>
      </c>
      <c r="B471">
        <v>38814.790231262654</v>
      </c>
      <c r="C471" s="2">
        <v>0.65650687991049095</v>
      </c>
      <c r="D471">
        <v>-19119.583833947927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>
      <c r="A472" s="2">
        <v>470</v>
      </c>
      <c r="B472">
        <v>32207.411781111536</v>
      </c>
      <c r="C472" s="2">
        <v>0.61078345559738501</v>
      </c>
      <c r="D472">
        <v>-13883.908113189984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>
      <c r="A473" s="2">
        <v>471</v>
      </c>
      <c r="B473">
        <v>32719.807054393954</v>
      </c>
      <c r="C473" s="2">
        <v>0.81874063777857309</v>
      </c>
      <c r="D473">
        <v>-8157.5879210367602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>
      <c r="A474" s="2">
        <v>472</v>
      </c>
      <c r="B474">
        <v>36277.108471969303</v>
      </c>
      <c r="C474" s="2">
        <v>0.38368675558652221</v>
      </c>
      <c r="D474">
        <v>-24766.505804373635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>
      <c r="A475" s="2">
        <v>473</v>
      </c>
      <c r="B475">
        <v>45734.204457932516</v>
      </c>
      <c r="C475" s="2">
        <v>0.67392369680204522</v>
      </c>
      <c r="D475">
        <v>-25516.493553871158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>
      <c r="A476" s="2">
        <v>474</v>
      </c>
      <c r="B476">
        <v>36273.119643420068</v>
      </c>
      <c r="C476" s="2">
        <v>0.56119828163846419</v>
      </c>
      <c r="D476">
        <v>-19437.171194266142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>
      <c r="A477" s="2">
        <v>475</v>
      </c>
      <c r="B477">
        <v>20788.174046624415</v>
      </c>
      <c r="C477" s="2">
        <v>0.7571164770682941</v>
      </c>
      <c r="D477">
        <v>1925.3202654244087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>
      <c r="A478" s="2">
        <v>476</v>
      </c>
      <c r="B478">
        <v>31335.49489887229</v>
      </c>
      <c r="C478" s="2">
        <v>0.73966540574226936</v>
      </c>
      <c r="D478">
        <v>-9145.5327266042077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>
      <c r="A479" s="2">
        <v>477</v>
      </c>
      <c r="B479">
        <v>29033.266237941374</v>
      </c>
      <c r="C479" s="2">
        <v>0.51260136495453712</v>
      </c>
      <c r="D479">
        <v>-13655.225289305261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>
      <c r="A480" s="2">
        <v>478</v>
      </c>
      <c r="B480">
        <v>34105.41443609829</v>
      </c>
      <c r="C480" s="2">
        <v>0.69830135697754492</v>
      </c>
      <c r="D480">
        <v>-13156.373726771941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>
      <c r="A481" s="2">
        <v>479</v>
      </c>
      <c r="B481">
        <v>28638.996057115306</v>
      </c>
      <c r="C481" s="2">
        <v>0.50611898655146392</v>
      </c>
      <c r="D481">
        <v>-13455.426460571389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>
      <c r="A482" s="2">
        <v>480</v>
      </c>
      <c r="B482">
        <v>47513.317874803543</v>
      </c>
      <c r="C482" s="2">
        <v>0.59304533911485402</v>
      </c>
      <c r="D482">
        <v>-29721.957701357922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>
      <c r="A483" s="2">
        <v>481</v>
      </c>
      <c r="B483">
        <v>46777.852013295058</v>
      </c>
      <c r="C483" s="2">
        <v>0.68549906288059015</v>
      </c>
      <c r="D483">
        <v>-26212.880126877353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>
      <c r="A484" s="2">
        <v>482</v>
      </c>
      <c r="B484">
        <v>38205.588489355599</v>
      </c>
      <c r="C484" s="2">
        <v>0.8819985485312829</v>
      </c>
      <c r="D484">
        <v>-11745.632033417114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>
      <c r="A485" s="2">
        <v>483</v>
      </c>
      <c r="B485">
        <v>31078.84758955468</v>
      </c>
      <c r="C485" s="2">
        <v>0.47836841018002341</v>
      </c>
      <c r="D485">
        <v>-16727.795284153977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>
      <c r="A486" s="2">
        <v>484</v>
      </c>
      <c r="B486">
        <v>43416.100427916201</v>
      </c>
      <c r="C486" s="2">
        <v>0.57547688541149666</v>
      </c>
      <c r="D486">
        <v>-26151.793865571301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>
      <c r="A487" s="2">
        <v>485</v>
      </c>
      <c r="B487">
        <v>30905.915832783234</v>
      </c>
      <c r="C487" s="2">
        <v>0.73803750321100248</v>
      </c>
      <c r="D487">
        <v>-8764.7907364531602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>
      <c r="A488" s="2">
        <v>486</v>
      </c>
      <c r="B488">
        <v>14757.147296826406</v>
      </c>
      <c r="C488" s="2">
        <v>0.19139710676623878</v>
      </c>
      <c r="D488">
        <v>-9015.2340938392426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>
      <c r="A489" s="2">
        <v>487</v>
      </c>
      <c r="B489">
        <v>36421.413331673684</v>
      </c>
      <c r="C489" s="2">
        <v>0.47013860351081305</v>
      </c>
      <c r="D489">
        <v>-22317.255226349291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>
      <c r="A490" s="2">
        <v>488</v>
      </c>
      <c r="B490">
        <v>35492.26287027631</v>
      </c>
      <c r="C490" s="2">
        <v>0.74547839843126806</v>
      </c>
      <c r="D490">
        <v>-13127.910917338268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>
      <c r="A491" s="2">
        <v>489</v>
      </c>
      <c r="B491">
        <v>36979.35148831852</v>
      </c>
      <c r="C491" s="2">
        <v>0.79103987127996844</v>
      </c>
      <c r="D491">
        <v>-13248.155349919467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>
      <c r="A492" s="2">
        <v>490</v>
      </c>
      <c r="B492">
        <v>32486.886424922413</v>
      </c>
      <c r="C492" s="2">
        <v>0.5452816828232383</v>
      </c>
      <c r="D492">
        <v>-16128.435940225265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>
      <c r="A493" s="2">
        <v>491</v>
      </c>
      <c r="B493">
        <v>34081.49787286581</v>
      </c>
      <c r="C493" s="2">
        <v>0.47796006974446192</v>
      </c>
      <c r="D493">
        <v>-19742.695780531954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>
      <c r="A494" s="2">
        <v>492</v>
      </c>
      <c r="B494">
        <v>39752.720715130308</v>
      </c>
      <c r="C494" s="2">
        <v>0.17367842491784447</v>
      </c>
      <c r="D494">
        <v>-34542.367967594975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>
      <c r="A495" s="2">
        <v>493</v>
      </c>
      <c r="B495">
        <v>31963.526113221866</v>
      </c>
      <c r="C495" s="2">
        <v>0.43764813636944244</v>
      </c>
      <c r="D495">
        <v>-18834.082022138595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>
      <c r="A496" s="2">
        <v>494</v>
      </c>
      <c r="B496">
        <v>53463.552437296625</v>
      </c>
      <c r="C496" s="2">
        <v>0.68284260446199907</v>
      </c>
      <c r="D496">
        <v>-32978.274303436658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>
      <c r="A497" s="2">
        <v>495</v>
      </c>
      <c r="B497">
        <v>35156.367684825127</v>
      </c>
      <c r="C497" s="2">
        <v>0.34078644357604504</v>
      </c>
      <c r="D497">
        <v>-24932.774377543778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>
      <c r="A498" s="2">
        <v>496</v>
      </c>
      <c r="B498">
        <v>39413.027410728457</v>
      </c>
      <c r="C498" s="2">
        <v>0.37052228619256899</v>
      </c>
      <c r="D498">
        <v>-28297.358824951385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>
      <c r="A499" s="2">
        <v>497</v>
      </c>
      <c r="B499">
        <v>30790.633537047455</v>
      </c>
      <c r="C499" s="2">
        <v>0.68284459412611764</v>
      </c>
      <c r="D499">
        <v>-10305.295713263928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>
      <c r="A500" s="2">
        <v>498</v>
      </c>
      <c r="B500">
        <v>52458.349842733973</v>
      </c>
      <c r="C500" s="2">
        <v>0.90157928040854163</v>
      </c>
      <c r="D500">
        <v>-25410.971430477723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>
      <c r="A501" s="2">
        <v>499</v>
      </c>
      <c r="B501">
        <v>43768.558811743271</v>
      </c>
      <c r="C501" s="2">
        <v>0.53169861273075392</v>
      </c>
      <c r="D501">
        <v>-27817.600429820654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>
      <c r="A502" s="2">
        <v>500</v>
      </c>
      <c r="B502">
        <v>40678.966003078538</v>
      </c>
      <c r="C502" s="2">
        <v>0.81535310148328555</v>
      </c>
      <c r="D502">
        <v>-16218.37295857997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>
      <c r="A503" s="2">
        <v>501</v>
      </c>
      <c r="B503">
        <v>22053.84968325511</v>
      </c>
      <c r="C503" s="2">
        <v>0.63551898410552643</v>
      </c>
      <c r="D503">
        <v>-2988.2801600893181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>
      <c r="A504" s="2">
        <v>502</v>
      </c>
      <c r="B504">
        <v>29458.813410291084</v>
      </c>
      <c r="C504" s="2">
        <v>0.5444250609581216</v>
      </c>
      <c r="D504">
        <v>-13126.061581547436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>
      <c r="A505" s="2">
        <v>503</v>
      </c>
      <c r="B505">
        <v>54264.192460859085</v>
      </c>
      <c r="C505" s="2">
        <v>0.42631553469070016</v>
      </c>
      <c r="D505">
        <v>-41474.726420138082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>
      <c r="A506" s="2">
        <v>504</v>
      </c>
      <c r="B506">
        <v>29171.988980284106</v>
      </c>
      <c r="C506" s="2">
        <v>0.45810105715751903</v>
      </c>
      <c r="D506">
        <v>-15428.957265558536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>
      <c r="A507" s="2">
        <v>505</v>
      </c>
      <c r="B507">
        <v>24852.375752603759</v>
      </c>
      <c r="C507" s="2">
        <v>0.56296654768790289</v>
      </c>
      <c r="D507">
        <v>-7963.3793219666732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>
      <c r="A508" s="2">
        <v>506</v>
      </c>
      <c r="B508">
        <v>39373.927528351524</v>
      </c>
      <c r="C508" s="2">
        <v>0.8176820902335924</v>
      </c>
      <c r="D508">
        <v>-14843.46482134375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>
      <c r="A509" s="2">
        <v>507</v>
      </c>
      <c r="B509">
        <v>37073.514158701793</v>
      </c>
      <c r="C509" s="2">
        <v>0.70835805098745075</v>
      </c>
      <c r="D509">
        <v>-15822.77262907827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>
      <c r="A510" s="2">
        <v>508</v>
      </c>
      <c r="B510">
        <v>23689.219539855221</v>
      </c>
      <c r="C510" s="2">
        <v>0.44544953319661063</v>
      </c>
      <c r="D510">
        <v>-10325.733543956903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>
      <c r="A511" s="2">
        <v>509</v>
      </c>
      <c r="B511">
        <v>39446.325131371057</v>
      </c>
      <c r="C511" s="2">
        <v>0.84336088063204206</v>
      </c>
      <c r="D511">
        <v>-14145.498712409793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>
      <c r="A512" s="2">
        <v>510</v>
      </c>
      <c r="B512">
        <v>28144.644195706212</v>
      </c>
      <c r="C512" s="2">
        <v>0.57745041690297172</v>
      </c>
      <c r="D512">
        <v>-10821.131688617061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>
      <c r="A513" s="2">
        <v>511</v>
      </c>
      <c r="B513">
        <v>42102.524405577824</v>
      </c>
      <c r="C513" s="2">
        <v>0.73832911199722173</v>
      </c>
      <c r="D513">
        <v>-19952.651045661172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>
      <c r="A514" s="2">
        <v>512</v>
      </c>
      <c r="B514">
        <v>28131.471862946644</v>
      </c>
      <c r="C514" s="2">
        <v>0.41341538194953231</v>
      </c>
      <c r="D514">
        <v>-15729.010404460674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>
      <c r="A515" s="2">
        <v>513</v>
      </c>
      <c r="B515">
        <v>30055.953058533531</v>
      </c>
      <c r="C515" s="2">
        <v>0.55383483169040715</v>
      </c>
      <c r="D515">
        <v>-13440.908107821317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>
      <c r="A516" s="2">
        <v>514</v>
      </c>
      <c r="B516">
        <v>33993.951697000841</v>
      </c>
      <c r="C516" s="2">
        <v>0.71069705669004657</v>
      </c>
      <c r="D516">
        <v>-12673.039996299445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>
      <c r="A517" s="2">
        <v>515</v>
      </c>
      <c r="B517">
        <v>26643.335782405913</v>
      </c>
      <c r="C517" s="2">
        <v>0.56345657262773607</v>
      </c>
      <c r="D517">
        <v>-9739.6386035738324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>
      <c r="A518" s="2">
        <v>516</v>
      </c>
      <c r="B518">
        <v>55440.870328312005</v>
      </c>
      <c r="C518" s="2">
        <v>0.80873790356916864</v>
      </c>
      <c r="D518">
        <v>-31178.733221236947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>
      <c r="A519" s="2">
        <v>517</v>
      </c>
      <c r="B519">
        <v>26079.53721009109</v>
      </c>
      <c r="C519" s="2">
        <v>0.22428140074057024</v>
      </c>
      <c r="D519">
        <v>-19351.095187873983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>
      <c r="A520" s="2">
        <v>518</v>
      </c>
      <c r="B520">
        <v>32155.5975806848</v>
      </c>
      <c r="C520" s="2">
        <v>0.75831198708833791</v>
      </c>
      <c r="D520">
        <v>-9406.2379680346639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>
      <c r="A521" s="2">
        <v>519</v>
      </c>
      <c r="B521">
        <v>21014.08074842106</v>
      </c>
      <c r="C521" s="2">
        <v>0.59554244972777171</v>
      </c>
      <c r="D521">
        <v>-3147.8072565879083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>
      <c r="A522" s="2">
        <v>520</v>
      </c>
      <c r="B522">
        <v>56007.787388258883</v>
      </c>
      <c r="C522" s="2">
        <v>0.62387742186908945</v>
      </c>
      <c r="D522">
        <v>-37291.464732186199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>
      <c r="A523" s="2">
        <v>521</v>
      </c>
      <c r="B523">
        <v>40517.701045611357</v>
      </c>
      <c r="C523" s="2">
        <v>0.60030966583959411</v>
      </c>
      <c r="D523">
        <v>-22508.411070423532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>
      <c r="A524" s="2">
        <v>522</v>
      </c>
      <c r="B524">
        <v>41199.895402287853</v>
      </c>
      <c r="C524" s="2">
        <v>0.8372279693275857</v>
      </c>
      <c r="D524">
        <v>-16083.056322460281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>
      <c r="A525" s="2">
        <v>523</v>
      </c>
      <c r="B525">
        <v>45760.426842974433</v>
      </c>
      <c r="C525" s="2">
        <v>0.93635240882747572</v>
      </c>
      <c r="D525">
        <v>-17669.854578150163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>
      <c r="A526" s="2">
        <v>524</v>
      </c>
      <c r="B526">
        <v>26821.128481789761</v>
      </c>
      <c r="C526" s="2">
        <v>0.96708493918466987</v>
      </c>
      <c r="D526">
        <v>2191.419693750333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>
      <c r="A527" s="2">
        <v>525</v>
      </c>
      <c r="B527">
        <v>50172.038179154821</v>
      </c>
      <c r="C527" s="2">
        <v>0.85995856575950858</v>
      </c>
      <c r="D527">
        <v>-24373.281206369564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>
      <c r="A528" s="2">
        <v>526</v>
      </c>
      <c r="B528">
        <v>30921.703365629684</v>
      </c>
      <c r="C528" s="2">
        <v>0.55481589251058483</v>
      </c>
      <c r="D528">
        <v>-14277.226590312141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>
      <c r="A529" s="2">
        <v>527</v>
      </c>
      <c r="B529">
        <v>36644.397517624013</v>
      </c>
      <c r="C529" s="2">
        <v>0.39947530826967448</v>
      </c>
      <c r="D529">
        <v>-24660.138269533778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>
      <c r="A530" s="2">
        <v>528</v>
      </c>
      <c r="B530">
        <v>23024.831367765917</v>
      </c>
      <c r="C530" s="2">
        <v>0.37156468024818046</v>
      </c>
      <c r="D530">
        <v>-11877.890960320503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>
      <c r="A531" s="2">
        <v>529</v>
      </c>
      <c r="B531">
        <v>38737.847665244619</v>
      </c>
      <c r="C531" s="2">
        <v>0.566203863259511</v>
      </c>
      <c r="D531">
        <v>-21751.731767459289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>
      <c r="A532" s="2">
        <v>530</v>
      </c>
      <c r="B532">
        <v>42202.235440109049</v>
      </c>
      <c r="C532" s="2">
        <v>0.8551118158519726</v>
      </c>
      <c r="D532">
        <v>-16548.88096454987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>
      <c r="A533" s="2">
        <v>531</v>
      </c>
      <c r="B533">
        <v>27616.766928515921</v>
      </c>
      <c r="C533" s="2">
        <v>0.61667833913724723</v>
      </c>
      <c r="D533">
        <v>-9116.4167543985022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>
      <c r="A534" s="2">
        <v>532</v>
      </c>
      <c r="B534">
        <v>31351.26081825413</v>
      </c>
      <c r="C534" s="2">
        <v>0.66598273533047148</v>
      </c>
      <c r="D534">
        <v>-11371.778758339984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>
      <c r="A535" s="2">
        <v>533</v>
      </c>
      <c r="B535">
        <v>41791.768013681787</v>
      </c>
      <c r="C535" s="2">
        <v>0.74573088948768329</v>
      </c>
      <c r="D535">
        <v>-19419.841329051287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>
      <c r="A536" s="2">
        <v>534</v>
      </c>
      <c r="B536">
        <v>31406.189017660785</v>
      </c>
      <c r="C536" s="2">
        <v>0.5530404235890225</v>
      </c>
      <c r="D536">
        <v>-14814.97630999011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>
      <c r="A537" s="2">
        <v>535</v>
      </c>
      <c r="B537">
        <v>29112.051100981567</v>
      </c>
      <c r="C537" s="2">
        <v>0.6639411385494316</v>
      </c>
      <c r="D537">
        <v>-9193.8169444986197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>
      <c r="A538" s="2">
        <v>536</v>
      </c>
      <c r="B538">
        <v>21611.93824155008</v>
      </c>
      <c r="C538" s="2">
        <v>0.58260133676344839</v>
      </c>
      <c r="D538">
        <v>-4133.8981386466294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>
      <c r="A539" s="2">
        <v>537</v>
      </c>
      <c r="B539">
        <v>35982.584834450499</v>
      </c>
      <c r="C539" s="2">
        <v>0.55516622253473069</v>
      </c>
      <c r="D539">
        <v>-19327.598158408578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>
      <c r="A540" s="2">
        <v>538</v>
      </c>
      <c r="B540">
        <v>51149.281971590935</v>
      </c>
      <c r="C540" s="2">
        <v>1.1618841829200093</v>
      </c>
      <c r="D540">
        <v>-16292.756483990655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>
      <c r="A541" s="2">
        <v>539</v>
      </c>
      <c r="B541">
        <v>25143.073740945416</v>
      </c>
      <c r="C541" s="2">
        <v>0.63230303471875504</v>
      </c>
      <c r="D541">
        <v>-6173.9826993827664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>
      <c r="A542" s="2">
        <v>540</v>
      </c>
      <c r="B542">
        <v>26867.097396531972</v>
      </c>
      <c r="C542" s="2">
        <v>0.36259362234605752</v>
      </c>
      <c r="D542">
        <v>-15989.288726150246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>
      <c r="A543" s="2">
        <v>541</v>
      </c>
      <c r="B543">
        <v>27474.41192982997</v>
      </c>
      <c r="C543" s="2">
        <v>0.45525515244043624</v>
      </c>
      <c r="D543">
        <v>-13816.757356616883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>
      <c r="A544" s="2">
        <v>542</v>
      </c>
      <c r="B544">
        <v>42752.974119131388</v>
      </c>
      <c r="C544" s="2">
        <v>1.0387137259002734</v>
      </c>
      <c r="D544">
        <v>-11591.562342123183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>
      <c r="A545" s="2">
        <v>543</v>
      </c>
      <c r="B545">
        <v>33363.329850708054</v>
      </c>
      <c r="C545" s="2">
        <v>0.4106485080238822</v>
      </c>
      <c r="D545">
        <v>-21043.874609991588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>
      <c r="A546" s="2">
        <v>544</v>
      </c>
      <c r="B546">
        <v>27987.539240942562</v>
      </c>
      <c r="C546" s="2">
        <v>1.0056777712439946</v>
      </c>
      <c r="D546">
        <v>2182.7938963772758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>
      <c r="A547" s="2">
        <v>545</v>
      </c>
      <c r="B547">
        <v>22754.959917362277</v>
      </c>
      <c r="C547" s="2">
        <v>0.75932853151326918</v>
      </c>
      <c r="D547">
        <v>24.896028035796917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>
      <c r="A548" s="2">
        <v>546</v>
      </c>
      <c r="B548">
        <v>32485.084097803585</v>
      </c>
      <c r="C548" s="2">
        <v>0.35861748204582988</v>
      </c>
      <c r="D548">
        <v>-21726.55963642869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>
      <c r="A549" s="2">
        <v>547</v>
      </c>
      <c r="B549">
        <v>38656.476709224538</v>
      </c>
      <c r="C549" s="2">
        <v>0.75623312574732604</v>
      </c>
      <c r="D549">
        <v>-15969.482936804758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>
      <c r="A550" s="2">
        <v>548</v>
      </c>
      <c r="B550">
        <v>29642.676592996671</v>
      </c>
      <c r="C550" s="2">
        <v>0.54426688993038241</v>
      </c>
      <c r="D550">
        <v>-13314.669895085199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>
      <c r="A551" s="2">
        <v>549</v>
      </c>
      <c r="B551">
        <v>36597.041265363732</v>
      </c>
      <c r="C551" s="2">
        <v>0.73951963712989177</v>
      </c>
      <c r="D551">
        <v>-14411.45215146698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>
      <c r="A552" s="2">
        <v>550</v>
      </c>
      <c r="B552">
        <v>37408.45033617485</v>
      </c>
      <c r="C552" s="2">
        <v>0.74283541128485675</v>
      </c>
      <c r="D552">
        <v>-15123.387997629146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>
      <c r="A553" s="2">
        <v>551</v>
      </c>
      <c r="B553">
        <v>39729.342430955126</v>
      </c>
      <c r="C553" s="2">
        <v>0.70046015964326958</v>
      </c>
      <c r="D553">
        <v>-18715.53764165704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>
      <c r="A554" s="2">
        <v>552</v>
      </c>
      <c r="B554">
        <v>51898.722285265903</v>
      </c>
      <c r="C554" s="2">
        <v>0.91943394096149267</v>
      </c>
      <c r="D554">
        <v>-24315.704056421124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>
      <c r="A555" s="2">
        <v>553</v>
      </c>
      <c r="B555">
        <v>33309.316020615159</v>
      </c>
      <c r="C555" s="2">
        <v>0.58923228407084371</v>
      </c>
      <c r="D555">
        <v>-15632.347498489846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>
      <c r="A556" s="2">
        <v>554</v>
      </c>
      <c r="B556">
        <v>34830.643337534115</v>
      </c>
      <c r="C556" s="2">
        <v>0.47649981355917026</v>
      </c>
      <c r="D556">
        <v>-20535.648930759009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>
      <c r="A557" s="2">
        <v>555</v>
      </c>
      <c r="B557">
        <v>39730.199024590693</v>
      </c>
      <c r="C557" s="2">
        <v>0.52641116894127404</v>
      </c>
      <c r="D557">
        <v>-23937.86395635247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>
      <c r="A558" s="2">
        <v>556</v>
      </c>
      <c r="B558">
        <v>29457.6523454341</v>
      </c>
      <c r="C558" s="2">
        <v>0.43108643808324776</v>
      </c>
      <c r="D558">
        <v>-16525.059202936667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>
      <c r="A559" s="2">
        <v>557</v>
      </c>
      <c r="B559">
        <v>39957.146958998041</v>
      </c>
      <c r="C559" s="2">
        <v>0.69649200581742021</v>
      </c>
      <c r="D559">
        <v>-19062.386784475435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>
      <c r="A560" s="2">
        <v>558</v>
      </c>
      <c r="B560">
        <v>54419.103543800637</v>
      </c>
      <c r="C560" s="2">
        <v>0.62845356272726849</v>
      </c>
      <c r="D560">
        <v>-35565.496661982586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>
      <c r="A561" s="2">
        <v>559</v>
      </c>
      <c r="B561">
        <v>24908.686375448939</v>
      </c>
      <c r="C561" s="2">
        <v>0.75201083539556879</v>
      </c>
      <c r="D561">
        <v>-2348.3613135818741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>
      <c r="A562" s="2">
        <v>560</v>
      </c>
      <c r="B562">
        <v>46884.406154086733</v>
      </c>
      <c r="C562" s="2">
        <v>1.1113168595107177</v>
      </c>
      <c r="D562">
        <v>-13544.9003687652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>
      <c r="A563" s="2">
        <v>561</v>
      </c>
      <c r="B563">
        <v>55754.068051855633</v>
      </c>
      <c r="C563" s="2">
        <v>0.83666513795723874</v>
      </c>
      <c r="D563">
        <v>-30654.11391313847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>
      <c r="A564" s="2">
        <v>562</v>
      </c>
      <c r="B564">
        <v>39052.752688751934</v>
      </c>
      <c r="C564" s="2">
        <v>0.90970490751198541</v>
      </c>
      <c r="D564">
        <v>-11761.60546339237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>
      <c r="A565" s="2">
        <v>563</v>
      </c>
      <c r="B565">
        <v>32480.772910632077</v>
      </c>
      <c r="C565" s="2">
        <v>0.71808353906500355</v>
      </c>
      <c r="D565">
        <v>-10938.26673868197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>
      <c r="A566" s="2">
        <v>564</v>
      </c>
      <c r="B566">
        <v>23904.182897712752</v>
      </c>
      <c r="C566" s="2">
        <v>0.93766661983139987</v>
      </c>
      <c r="D566">
        <v>4225.8156972292454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>
      <c r="A567" s="2">
        <v>565</v>
      </c>
      <c r="B567">
        <v>47133.718783409982</v>
      </c>
      <c r="C567" s="2">
        <v>1.0379552019417091</v>
      </c>
      <c r="D567">
        <v>-15995.06272515871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>
      <c r="A568" s="2">
        <v>566</v>
      </c>
      <c r="B568">
        <v>33825.244036818847</v>
      </c>
      <c r="C568" s="2">
        <v>0.32464240651088616</v>
      </c>
      <c r="D568">
        <v>-24085.971841492261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>
      <c r="A569" s="2">
        <v>567</v>
      </c>
      <c r="B569">
        <v>38020.526697034627</v>
      </c>
      <c r="C569" s="2">
        <v>0.78652711361138161</v>
      </c>
      <c r="D569">
        <v>-14424.713288693179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>
      <c r="A570" s="2">
        <v>568</v>
      </c>
      <c r="B570">
        <v>57633.013934897375</v>
      </c>
      <c r="C570" s="2">
        <v>0.69983508221608548</v>
      </c>
      <c r="D570">
        <v>-36637.961468414811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>
      <c r="A571" s="2">
        <v>569</v>
      </c>
      <c r="B571">
        <v>63464.655130165862</v>
      </c>
      <c r="C571" s="2">
        <v>0.66322158714959012</v>
      </c>
      <c r="D571">
        <v>-43568.007515678153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>
      <c r="A572" s="2">
        <v>570</v>
      </c>
      <c r="B572">
        <v>32367.106205119613</v>
      </c>
      <c r="C572" s="2">
        <v>0.33308175648493621</v>
      </c>
      <c r="D572">
        <v>-22374.653510571527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>
      <c r="A573" s="2">
        <v>571</v>
      </c>
      <c r="B573">
        <v>19154.334977959363</v>
      </c>
      <c r="C573" s="2">
        <v>0.28033496277798786</v>
      </c>
      <c r="D573">
        <v>-10744.286094619727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>
      <c r="A574" s="2">
        <v>572</v>
      </c>
      <c r="B574">
        <v>42071.56107510734</v>
      </c>
      <c r="C574" s="2">
        <v>0.76746420518215785</v>
      </c>
      <c r="D574">
        <v>-19047.634919642605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>
      <c r="A575" s="2">
        <v>573</v>
      </c>
      <c r="B575">
        <v>38224.840533599323</v>
      </c>
      <c r="C575" s="2">
        <v>0.30910198674064637</v>
      </c>
      <c r="D575">
        <v>-28951.78093137993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>
      <c r="A576" s="2">
        <v>574</v>
      </c>
      <c r="B576">
        <v>42079.954884006103</v>
      </c>
      <c r="C576" s="2">
        <v>0.7112784076397729</v>
      </c>
      <c r="D576">
        <v>-20741.602654812916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>
      <c r="A577" s="2">
        <v>575</v>
      </c>
      <c r="B577">
        <v>32948.126933739477</v>
      </c>
      <c r="C577" s="2">
        <v>0.29144740195591368</v>
      </c>
      <c r="D577">
        <v>-24204.704875062067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>
      <c r="A578" s="2">
        <v>576</v>
      </c>
      <c r="B578">
        <v>38073.070534109393</v>
      </c>
      <c r="C578" s="2">
        <v>0.65359746804199115</v>
      </c>
      <c r="D578">
        <v>-18465.146492849657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>
      <c r="A579" s="2">
        <v>577</v>
      </c>
      <c r="B579">
        <v>50349.050090155484</v>
      </c>
      <c r="C579" s="2">
        <v>0.79852363341241861</v>
      </c>
      <c r="D579">
        <v>-26393.341087782926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>
      <c r="A580" s="2">
        <v>578</v>
      </c>
      <c r="B580">
        <v>52707.252446569197</v>
      </c>
      <c r="C580" s="2">
        <v>0.73107817053006374</v>
      </c>
      <c r="D580">
        <v>-30774.907330667284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>
      <c r="A581" s="2">
        <v>579</v>
      </c>
      <c r="B581">
        <v>30791.90630277295</v>
      </c>
      <c r="C581" s="2">
        <v>0.75405053353737395</v>
      </c>
      <c r="D581">
        <v>-8170.3902966517308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>
      <c r="A582" s="2">
        <v>580</v>
      </c>
      <c r="B582">
        <v>34746.290573451588</v>
      </c>
      <c r="C582" s="2">
        <v>0.43685601504831539</v>
      </c>
      <c r="D582">
        <v>-21640.610122002126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>
      <c r="A583" s="2">
        <v>581</v>
      </c>
      <c r="B583">
        <v>40763.131616390863</v>
      </c>
      <c r="C583" s="2">
        <v>0.69240112204253257</v>
      </c>
      <c r="D583">
        <v>-19991.097955114885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>
      <c r="A584" s="2">
        <v>582</v>
      </c>
      <c r="B584">
        <v>24400.366790340311</v>
      </c>
      <c r="C584" s="2">
        <v>0.30116745647912802</v>
      </c>
      <c r="D584">
        <v>-15365.343095966471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>
      <c r="A585" s="2">
        <v>583</v>
      </c>
      <c r="B585">
        <v>39654.622416618404</v>
      </c>
      <c r="C585" s="2">
        <v>0.66991111587850694</v>
      </c>
      <c r="D585">
        <v>-19557.288940263195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>
      <c r="A586" s="2">
        <v>584</v>
      </c>
      <c r="B586">
        <v>39023.54344688882</v>
      </c>
      <c r="C586" s="2">
        <v>0.5377825875622082</v>
      </c>
      <c r="D586">
        <v>-22890.065820022573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>
      <c r="A587" s="2">
        <v>585</v>
      </c>
      <c r="B587">
        <v>41104.376511267154</v>
      </c>
      <c r="C587" s="2">
        <v>0.76643800978240484</v>
      </c>
      <c r="D587">
        <v>-18111.236217795009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>
      <c r="A588" s="2">
        <v>586</v>
      </c>
      <c r="B588">
        <v>29873.811656352911</v>
      </c>
      <c r="C588" s="2">
        <v>0.38694808201601538</v>
      </c>
      <c r="D588">
        <v>-18265.369195872452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>
      <c r="A589" s="2">
        <v>587</v>
      </c>
      <c r="B589">
        <v>18307.662808647838</v>
      </c>
      <c r="C589" s="2">
        <v>0.75161192223775486</v>
      </c>
      <c r="D589">
        <v>4240.6948584848069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>
      <c r="A590" s="2">
        <v>588</v>
      </c>
      <c r="B590">
        <v>38124.283617023051</v>
      </c>
      <c r="C590" s="2">
        <v>0.44483535358275517</v>
      </c>
      <c r="D590">
        <v>-24779.223009540394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>
      <c r="A591" s="2">
        <v>589</v>
      </c>
      <c r="B591">
        <v>35083.733414816685</v>
      </c>
      <c r="C591" s="2">
        <v>0.50231016687920893</v>
      </c>
      <c r="D591">
        <v>-20014.428408440417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>
      <c r="A592" s="2">
        <v>590</v>
      </c>
      <c r="B592">
        <v>35741.804332253152</v>
      </c>
      <c r="C592" s="2">
        <v>0.77459561400375287</v>
      </c>
      <c r="D592">
        <v>-12503.935912140565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>
      <c r="A593" s="2">
        <v>591</v>
      </c>
      <c r="B593">
        <v>26475.898736942931</v>
      </c>
      <c r="C593" s="2">
        <v>0.48669599292101529</v>
      </c>
      <c r="D593">
        <v>-11875.018949312473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>
      <c r="A594" s="2">
        <v>592</v>
      </c>
      <c r="B594">
        <v>41557.59604646339</v>
      </c>
      <c r="C594" s="2">
        <v>0.81373341929876819</v>
      </c>
      <c r="D594">
        <v>-17145.593467500345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>
      <c r="A595" s="2">
        <v>593</v>
      </c>
      <c r="B595">
        <v>44344.474935129438</v>
      </c>
      <c r="C595" s="2">
        <v>0.21888140708926285</v>
      </c>
      <c r="D595">
        <v>-37778.032722451549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>
      <c r="A596" s="2">
        <v>594</v>
      </c>
      <c r="B596">
        <v>26188.543436289074</v>
      </c>
      <c r="C596" s="2">
        <v>0.51931781761179274</v>
      </c>
      <c r="D596">
        <v>-10609.008907935291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>
      <c r="A597" s="2">
        <v>595</v>
      </c>
      <c r="B597">
        <v>29875.351195265001</v>
      </c>
      <c r="C597" s="2">
        <v>0.77883273017114107</v>
      </c>
      <c r="D597">
        <v>-6510.3692901307695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>
      <c r="A598" s="2">
        <v>596</v>
      </c>
      <c r="B598">
        <v>33803.966437077201</v>
      </c>
      <c r="C598" s="2">
        <v>0.10930177738686453</v>
      </c>
      <c r="D598">
        <v>-30524.913115471267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>
      <c r="A599" s="2">
        <v>597</v>
      </c>
      <c r="B599">
        <v>35693.185897048177</v>
      </c>
      <c r="C599" s="2">
        <v>0.91227083706442191</v>
      </c>
      <c r="D599">
        <v>-8325.0607851155182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>
      <c r="A600" s="2">
        <v>598</v>
      </c>
      <c r="B600">
        <v>51006.157133222499</v>
      </c>
      <c r="C600" s="2">
        <v>0.95067180054888789</v>
      </c>
      <c r="D600">
        <v>-22486.003116755863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>
      <c r="A601" s="2">
        <v>599</v>
      </c>
      <c r="B601">
        <v>40252.84476076303</v>
      </c>
      <c r="C601" s="2">
        <v>0.62304137098253487</v>
      </c>
      <c r="D601">
        <v>-21561.603631286984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>
      <c r="A602" s="2">
        <v>600</v>
      </c>
      <c r="B602">
        <v>36608.161889868294</v>
      </c>
      <c r="C602" s="2">
        <v>0.67780998550189775</v>
      </c>
      <c r="D602">
        <v>-16273.862324811362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>
      <c r="A603" s="2">
        <v>601</v>
      </c>
      <c r="B603">
        <v>34894.466026794471</v>
      </c>
      <c r="C603" s="2">
        <v>0.33629479929294903</v>
      </c>
      <c r="D603">
        <v>-24805.622048006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>
      <c r="A604" s="2">
        <v>602</v>
      </c>
      <c r="B604">
        <v>50092.443367497333</v>
      </c>
      <c r="C604" s="2">
        <v>0.83204672002031099</v>
      </c>
      <c r="D604">
        <v>-25131.041766888004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>
      <c r="A605" s="2">
        <v>603</v>
      </c>
      <c r="B605">
        <v>55138.914114729247</v>
      </c>
      <c r="C605" s="2">
        <v>1.1111523008393183</v>
      </c>
      <c r="D605">
        <v>-21804.345089549701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>
      <c r="A606" s="2">
        <v>604</v>
      </c>
      <c r="B606">
        <v>30479.230923257317</v>
      </c>
      <c r="C606" s="2">
        <v>0.32942212368078971</v>
      </c>
      <c r="D606">
        <v>-20596.567212833626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>
      <c r="A607" s="2">
        <v>605</v>
      </c>
      <c r="B607">
        <v>16433.936637901614</v>
      </c>
      <c r="C607" s="2">
        <v>0.56610228117912076</v>
      </c>
      <c r="D607">
        <v>549.13179747200775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>
      <c r="A608" s="2">
        <v>606</v>
      </c>
      <c r="B608">
        <v>34847.650895117331</v>
      </c>
      <c r="C608" s="2">
        <v>0.5167931338293108</v>
      </c>
      <c r="D608">
        <v>-19343.856880238007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>
      <c r="A609" s="2">
        <v>607</v>
      </c>
      <c r="B609">
        <v>32632.236679637208</v>
      </c>
      <c r="C609" s="2">
        <v>0.53510942733003453</v>
      </c>
      <c r="D609">
        <v>-16578.953859736172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>
      <c r="A610" s="2">
        <v>608</v>
      </c>
      <c r="B610">
        <v>23134.06938091632</v>
      </c>
      <c r="C610" s="2">
        <v>0.67415195351248336</v>
      </c>
      <c r="D610">
        <v>-2909.5107755418212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>
      <c r="A611" s="2">
        <v>609</v>
      </c>
      <c r="B611">
        <v>34101.375292560297</v>
      </c>
      <c r="C611" s="2">
        <v>0.97916143488609531</v>
      </c>
      <c r="D611">
        <v>-4726.5322459774361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>
      <c r="A612" s="2">
        <v>610</v>
      </c>
      <c r="B612">
        <v>37418.702123908573</v>
      </c>
      <c r="C612" s="2">
        <v>0.403198461264622</v>
      </c>
      <c r="D612">
        <v>-25322.748285969916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>
      <c r="A613" s="2">
        <v>611</v>
      </c>
      <c r="B613">
        <v>30313.295978061709</v>
      </c>
      <c r="C613" s="2">
        <v>0.89046923309792736</v>
      </c>
      <c r="D613">
        <v>-3599.2189851238873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>
      <c r="A614" s="2">
        <v>612</v>
      </c>
      <c r="B614">
        <v>19275.40981216076</v>
      </c>
      <c r="C614" s="2">
        <v>0.70743691380669693</v>
      </c>
      <c r="D614">
        <v>1947.6976020401489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>
      <c r="A615" s="2">
        <v>613</v>
      </c>
      <c r="B615">
        <v>47801.337142714598</v>
      </c>
      <c r="C615" s="2">
        <v>0.68252349598935669</v>
      </c>
      <c r="D615">
        <v>-27325.632263033898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>
      <c r="A616" s="2">
        <v>614</v>
      </c>
      <c r="B616">
        <v>42605.381817072186</v>
      </c>
      <c r="C616" s="2">
        <v>0.31742077961044113</v>
      </c>
      <c r="D616">
        <v>-33082.758428758956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>
      <c r="A617" s="2">
        <v>615</v>
      </c>
      <c r="B617">
        <v>40490.68367508347</v>
      </c>
      <c r="C617" s="2">
        <v>0.93913125272480324</v>
      </c>
      <c r="D617">
        <v>-12316.746093339374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>
      <c r="A618" s="2">
        <v>616</v>
      </c>
      <c r="B618">
        <v>22511.606109782559</v>
      </c>
      <c r="C618" s="2">
        <v>0.57850559971299398</v>
      </c>
      <c r="D618">
        <v>-5156.4381183927399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>
      <c r="A619" s="2">
        <v>617</v>
      </c>
      <c r="B619">
        <v>36960.64305812354</v>
      </c>
      <c r="C619" s="2">
        <v>0.73950974982337914</v>
      </c>
      <c r="D619">
        <v>-14775.350563422166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>
      <c r="A620" s="2">
        <v>618</v>
      </c>
      <c r="B620">
        <v>35753.117240497952</v>
      </c>
      <c r="C620" s="2">
        <v>1.1914109559436254</v>
      </c>
      <c r="D620">
        <v>-10.788562189190998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>
      <c r="A621" s="2">
        <v>619</v>
      </c>
      <c r="B621">
        <v>35469.299149976236</v>
      </c>
      <c r="C621" s="2">
        <v>0.44758685305290591</v>
      </c>
      <c r="D621">
        <v>-22041.693558389059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>
      <c r="A622" s="2">
        <v>620</v>
      </c>
      <c r="B622">
        <v>18489.948024473451</v>
      </c>
      <c r="C622" s="2">
        <v>0.87407706480889158</v>
      </c>
      <c r="D622">
        <v>7732.3639197932971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>
      <c r="A623" s="2">
        <v>621</v>
      </c>
      <c r="B623">
        <v>24202.051622806204</v>
      </c>
      <c r="C623" s="2">
        <v>0.77941765648614303</v>
      </c>
      <c r="D623">
        <v>-819.521928221915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>
      <c r="A624" s="2">
        <v>622</v>
      </c>
      <c r="B624">
        <v>29664.925161052008</v>
      </c>
      <c r="C624" s="2">
        <v>0.65596386769971216</v>
      </c>
      <c r="D624">
        <v>-9986.0091300606437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>
      <c r="A625" s="2">
        <v>623</v>
      </c>
      <c r="B625">
        <v>19899.512671980265</v>
      </c>
      <c r="C625" s="2">
        <v>0.66793060390687264</v>
      </c>
      <c r="D625">
        <v>138.40544522591517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>
      <c r="A626" s="2">
        <v>624</v>
      </c>
      <c r="B626">
        <v>38996.770421012086</v>
      </c>
      <c r="C626" s="2">
        <v>0.66703831291650029</v>
      </c>
      <c r="D626">
        <v>-18985.621033517076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>
      <c r="A627" s="2">
        <v>625</v>
      </c>
      <c r="B627">
        <v>41599.469070651408</v>
      </c>
      <c r="C627" s="2">
        <v>0.55011496117246672</v>
      </c>
      <c r="D627">
        <v>-25096.020235477408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>
      <c r="A628" s="2">
        <v>626</v>
      </c>
      <c r="B628">
        <v>20764.548459512662</v>
      </c>
      <c r="C628" s="2">
        <v>0.69798565773716414</v>
      </c>
      <c r="D628">
        <v>175.02127260226189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>
      <c r="A629" s="2">
        <v>627</v>
      </c>
      <c r="B629">
        <v>43765.819710846365</v>
      </c>
      <c r="C629" s="2">
        <v>0.4982262727851654</v>
      </c>
      <c r="D629">
        <v>-28819.031527291401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>
      <c r="A630" s="2">
        <v>628</v>
      </c>
      <c r="B630">
        <v>45750.756671150855</v>
      </c>
      <c r="C630" s="2">
        <v>0.71651730164896565</v>
      </c>
      <c r="D630">
        <v>-24255.237621681885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>
      <c r="A631" s="2">
        <v>629</v>
      </c>
      <c r="B631">
        <v>28568.582086498151</v>
      </c>
      <c r="C631" s="2">
        <v>0.48485358231790676</v>
      </c>
      <c r="D631">
        <v>-14022.974616960948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>
      <c r="A632" s="2">
        <v>630</v>
      </c>
      <c r="B632">
        <v>48690.380587289641</v>
      </c>
      <c r="C632" s="2">
        <v>0.60601745189098688</v>
      </c>
      <c r="D632">
        <v>-30509.857030560033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>
      <c r="A633" s="2">
        <v>631</v>
      </c>
      <c r="B633">
        <v>55600.195769063284</v>
      </c>
      <c r="C633" s="2">
        <v>0.48367968066401335</v>
      </c>
      <c r="D633">
        <v>-41089.805349142887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>
      <c r="A634" s="2">
        <v>632</v>
      </c>
      <c r="B634">
        <v>32276.516077313667</v>
      </c>
      <c r="C634" s="2">
        <v>0.67354935781266856</v>
      </c>
      <c r="D634">
        <v>-12070.03534293361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>
      <c r="A635" s="2">
        <v>633</v>
      </c>
      <c r="B635">
        <v>44270.202875984323</v>
      </c>
      <c r="C635" s="2">
        <v>0.60207713310469502</v>
      </c>
      <c r="D635">
        <v>-26207.888882843472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>
      <c r="A636" s="2">
        <v>634</v>
      </c>
      <c r="B636">
        <v>26886.510947181116</v>
      </c>
      <c r="C636" s="2">
        <v>0.48297273641330007</v>
      </c>
      <c r="D636">
        <v>-12397.328854782114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>
      <c r="A637" s="2">
        <v>635</v>
      </c>
      <c r="B637">
        <v>28308.317216680174</v>
      </c>
      <c r="C637" s="2">
        <v>0.44881996319218853</v>
      </c>
      <c r="D637">
        <v>-14843.718320914519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>
      <c r="A638" s="2">
        <v>636</v>
      </c>
      <c r="B638">
        <v>26432.157008639901</v>
      </c>
      <c r="C638" s="2">
        <v>0.87407995486410117</v>
      </c>
      <c r="D638">
        <v>-209.75836271686421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>
      <c r="A639" s="2">
        <v>637</v>
      </c>
      <c r="B639">
        <v>25209.888956345829</v>
      </c>
      <c r="C639" s="2">
        <v>0.52013242980482022</v>
      </c>
      <c r="D639">
        <v>-9605.9160622012223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>
      <c r="A640" s="2">
        <v>638</v>
      </c>
      <c r="B640">
        <v>17785.819941283531</v>
      </c>
      <c r="C640" s="2">
        <v>0.73702620308682443</v>
      </c>
      <c r="D640">
        <v>4324.9661513212013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>
      <c r="A641" s="2">
        <v>639</v>
      </c>
      <c r="B641">
        <v>66194.56018726094</v>
      </c>
      <c r="C641" s="2">
        <v>0.5969384348430935</v>
      </c>
      <c r="D641">
        <v>-48286.407141968135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>
      <c r="A642" s="2">
        <v>640</v>
      </c>
      <c r="B642">
        <v>32272.651002751678</v>
      </c>
      <c r="C642" s="2">
        <v>0.55035679695210526</v>
      </c>
      <c r="D642">
        <v>-15761.947094188519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>
      <c r="A643" s="2">
        <v>641</v>
      </c>
      <c r="B643">
        <v>31232.807467607287</v>
      </c>
      <c r="C643" s="2">
        <v>0.70099590163640957</v>
      </c>
      <c r="D643">
        <v>-10202.930418514999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>
      <c r="A644" s="2">
        <v>642</v>
      </c>
      <c r="B644">
        <v>42939.847072497505</v>
      </c>
      <c r="C644" s="2">
        <v>1.0294851794314275</v>
      </c>
      <c r="D644">
        <v>-12055.29168955468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>
      <c r="A645" s="2">
        <v>643</v>
      </c>
      <c r="B645">
        <v>33904.445963479076</v>
      </c>
      <c r="C645" s="2">
        <v>0.55404820455473414</v>
      </c>
      <c r="D645">
        <v>-17282.999826837051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>
      <c r="A646" s="2">
        <v>644</v>
      </c>
      <c r="B646">
        <v>33644.500865128401</v>
      </c>
      <c r="C646" s="2">
        <v>0.51267177641015982</v>
      </c>
      <c r="D646">
        <v>-18264.347572823608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>
      <c r="A647" s="2">
        <v>645</v>
      </c>
      <c r="B647">
        <v>32053.900219570256</v>
      </c>
      <c r="C647" s="2">
        <v>0.75456518507487802</v>
      </c>
      <c r="D647">
        <v>-9416.9446673239145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>
      <c r="A648" s="2">
        <v>646</v>
      </c>
      <c r="B648">
        <v>14468.771577122061</v>
      </c>
      <c r="C648" s="2">
        <v>0.65473971491430771</v>
      </c>
      <c r="D648">
        <v>5173.4198703071706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>
      <c r="A649" s="2">
        <v>647</v>
      </c>
      <c r="B649">
        <v>40425.010360767541</v>
      </c>
      <c r="C649" s="2">
        <v>0.75190739674899865</v>
      </c>
      <c r="D649">
        <v>-17867.788458297582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>
      <c r="A650" s="2">
        <v>648</v>
      </c>
      <c r="B650">
        <v>44337.322019700754</v>
      </c>
      <c r="C650" s="2">
        <v>0.75355386482799069</v>
      </c>
      <c r="D650">
        <v>-21730.706074861035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>
      <c r="A651" s="2">
        <v>649</v>
      </c>
      <c r="B651">
        <v>29466.116611981168</v>
      </c>
      <c r="C651" s="2">
        <v>0.67675694891311688</v>
      </c>
      <c r="D651">
        <v>-9163.4081445876618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>
      <c r="A652" s="2">
        <v>650</v>
      </c>
      <c r="B652">
        <v>28184.957507018276</v>
      </c>
      <c r="C652" s="2">
        <v>0.29454292732196796</v>
      </c>
      <c r="D652">
        <v>-19348.669687359237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>
      <c r="A653" s="2">
        <v>651</v>
      </c>
      <c r="B653">
        <v>35650.275966271998</v>
      </c>
      <c r="C653" s="2">
        <v>0.74016841108604225</v>
      </c>
      <c r="D653">
        <v>-13445.22363369073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>
      <c r="A654" s="2">
        <v>652</v>
      </c>
      <c r="B654">
        <v>29599.198123970098</v>
      </c>
      <c r="C654" s="2">
        <v>0.58341541685022347</v>
      </c>
      <c r="D654">
        <v>-12096.735618463394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>
      <c r="A655" s="2">
        <v>653</v>
      </c>
      <c r="B655">
        <v>23947.826619189691</v>
      </c>
      <c r="C655" s="2">
        <v>0.11506823852235559</v>
      </c>
      <c r="D655">
        <v>-20495.779463519022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>
      <c r="A656" s="2">
        <v>654</v>
      </c>
      <c r="B656">
        <v>39585.147453892219</v>
      </c>
      <c r="C656" s="2">
        <v>0.67907489363645968</v>
      </c>
      <c r="D656">
        <v>-19212.900644798428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>
      <c r="A657" s="2">
        <v>655</v>
      </c>
      <c r="B657">
        <v>51355.354794515435</v>
      </c>
      <c r="C657" s="2">
        <v>0.65110629384952046</v>
      </c>
      <c r="D657">
        <v>-31822.165979029822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>
      <c r="A658" s="2">
        <v>656</v>
      </c>
      <c r="B658">
        <v>51487.21823631852</v>
      </c>
      <c r="C658" s="2">
        <v>0.70820696196694155</v>
      </c>
      <c r="D658">
        <v>-30241.009377310274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>
      <c r="A659" s="2">
        <v>657</v>
      </c>
      <c r="B659">
        <v>37819.27759593464</v>
      </c>
      <c r="C659" s="2">
        <v>0.67901419396338669</v>
      </c>
      <c r="D659">
        <v>-17448.85177703304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>
      <c r="A660" s="2">
        <v>658</v>
      </c>
      <c r="B660">
        <v>28614.7950752205</v>
      </c>
      <c r="C660" s="2">
        <v>0.99787232125601233</v>
      </c>
      <c r="D660">
        <v>1321.3745624598705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>
      <c r="A661" s="2">
        <v>659</v>
      </c>
      <c r="B661">
        <v>21255.251002592282</v>
      </c>
      <c r="C661" s="2">
        <v>0.35309945403165655</v>
      </c>
      <c r="D661">
        <v>-10662.267381642585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>
      <c r="A662" s="2">
        <v>660</v>
      </c>
      <c r="B662">
        <v>34987.308647430829</v>
      </c>
      <c r="C662" s="2">
        <v>0.430781936325763</v>
      </c>
      <c r="D662">
        <v>-22063.850557657941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>
      <c r="A663" s="2">
        <v>661</v>
      </c>
      <c r="B663">
        <v>44698.092602361423</v>
      </c>
      <c r="C663" s="2">
        <v>0.78827473370377299</v>
      </c>
      <c r="D663">
        <v>-21049.850591248232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>
      <c r="A664" s="2">
        <v>662</v>
      </c>
      <c r="B664">
        <v>43346.487298535758</v>
      </c>
      <c r="C664" s="2">
        <v>0.66653988092397953</v>
      </c>
      <c r="D664">
        <v>-23350.29087081637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>
      <c r="A665" s="2">
        <v>663</v>
      </c>
      <c r="B665">
        <v>38999.826304289141</v>
      </c>
      <c r="C665" s="2">
        <v>0.58601023469600411</v>
      </c>
      <c r="D665">
        <v>-21419.519263409016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>
      <c r="A666" s="2">
        <v>664</v>
      </c>
      <c r="B666">
        <v>28507.080057421037</v>
      </c>
      <c r="C666" s="2">
        <v>0.4552521027240457</v>
      </c>
      <c r="D666">
        <v>-14849.516975699666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>
      <c r="A667" s="2">
        <v>665</v>
      </c>
      <c r="B667">
        <v>23193.281397958395</v>
      </c>
      <c r="C667" s="2">
        <v>0.24622043629593149</v>
      </c>
      <c r="D667">
        <v>-15806.668309080451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>
      <c r="A668" s="2">
        <v>666</v>
      </c>
      <c r="B668">
        <v>38118.147178063242</v>
      </c>
      <c r="C668" s="2">
        <v>0.5533386002464995</v>
      </c>
      <c r="D668">
        <v>-21517.989170668257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>
      <c r="A669" s="2">
        <v>667</v>
      </c>
      <c r="B669">
        <v>39449.846266923007</v>
      </c>
      <c r="C669" s="2">
        <v>1.0045726007909537</v>
      </c>
      <c r="D669">
        <v>-9312.6682431943955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>
      <c r="A670" s="2">
        <v>668</v>
      </c>
      <c r="B670">
        <v>23586.619484902491</v>
      </c>
      <c r="C670" s="2">
        <v>0.7810876325629097</v>
      </c>
      <c r="D670">
        <v>-153.99050801519843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>
      <c r="A671" s="2">
        <v>669</v>
      </c>
      <c r="B671">
        <v>29818.945177093119</v>
      </c>
      <c r="C671" s="2">
        <v>0.85984414747912852</v>
      </c>
      <c r="D671">
        <v>-4023.6207527192637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>
      <c r="A672" s="2">
        <v>670</v>
      </c>
      <c r="B672">
        <v>22525.915377978054</v>
      </c>
      <c r="C672" s="2">
        <v>0.346395797687437</v>
      </c>
      <c r="D672">
        <v>-12134.041447354943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>
      <c r="A673" s="2">
        <v>671</v>
      </c>
      <c r="B673">
        <v>34792.726429121649</v>
      </c>
      <c r="C673" s="2">
        <v>0.88928915533740516</v>
      </c>
      <c r="D673">
        <v>-8114.0517689994958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>
      <c r="A674" s="2">
        <v>672</v>
      </c>
      <c r="B674">
        <v>35784.245556419599</v>
      </c>
      <c r="C674" s="2">
        <v>0.94909276159092482</v>
      </c>
      <c r="D674">
        <v>-7311.4627086918554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>
      <c r="A675" s="2">
        <v>673</v>
      </c>
      <c r="B675">
        <v>44070.336653968334</v>
      </c>
      <c r="C675" s="2">
        <v>0.64235680598425771</v>
      </c>
      <c r="D675">
        <v>-24799.632474440601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>
      <c r="A676" s="2">
        <v>674</v>
      </c>
      <c r="B676">
        <v>34027.602528905889</v>
      </c>
      <c r="C676" s="2">
        <v>0.58361904345401827</v>
      </c>
      <c r="D676">
        <v>-16519.03122528534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>
      <c r="A677" s="2">
        <v>675</v>
      </c>
      <c r="B677">
        <v>32449.922337958735</v>
      </c>
      <c r="C677" s="2">
        <v>0.57346124027594114</v>
      </c>
      <c r="D677">
        <v>-15246.085129680501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>
      <c r="A678" s="2">
        <v>676</v>
      </c>
      <c r="B678">
        <v>28270.517374655639</v>
      </c>
      <c r="C678" s="2">
        <v>0.70735680614332863</v>
      </c>
      <c r="D678">
        <v>-7049.8131903557805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>
      <c r="A679" s="2">
        <v>677</v>
      </c>
      <c r="B679">
        <v>24435.670794102909</v>
      </c>
      <c r="C679" s="2">
        <v>0.38149950923294051</v>
      </c>
      <c r="D679">
        <v>-12990.685517114694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>
      <c r="A680" s="2">
        <v>678</v>
      </c>
      <c r="B680">
        <v>30575.244474682018</v>
      </c>
      <c r="C680" s="2">
        <v>0.42471900063301349</v>
      </c>
      <c r="D680">
        <v>-17833.674455691613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>
      <c r="A681" s="2">
        <v>679</v>
      </c>
      <c r="B681">
        <v>33826.175204865489</v>
      </c>
      <c r="C681" s="2">
        <v>0.52948257979926194</v>
      </c>
      <c r="D681">
        <v>-17941.697810887628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>
      <c r="A682" s="2">
        <v>680</v>
      </c>
      <c r="B682">
        <v>31744.613177723833</v>
      </c>
      <c r="C682" s="2">
        <v>0.63274015909694592</v>
      </c>
      <c r="D682">
        <v>-12762.408404815455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>
      <c r="A683" s="2">
        <v>681</v>
      </c>
      <c r="B683">
        <v>26513.049570043215</v>
      </c>
      <c r="C683" s="2">
        <v>0.3895992962241106</v>
      </c>
      <c r="D683">
        <v>-14825.070683319896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>
      <c r="A684" s="2">
        <v>682</v>
      </c>
      <c r="B684">
        <v>39218.33880489954</v>
      </c>
      <c r="C684" s="2">
        <v>0.92723010944512252</v>
      </c>
      <c r="D684">
        <v>-11401.435521545864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>
      <c r="A685" s="2">
        <v>683</v>
      </c>
      <c r="B685">
        <v>29222.661130910747</v>
      </c>
      <c r="C685" s="2">
        <v>0.50994571830562996</v>
      </c>
      <c r="D685">
        <v>-13924.289581741848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>
      <c r="A686" s="2">
        <v>684</v>
      </c>
      <c r="B686">
        <v>31799.260602941016</v>
      </c>
      <c r="C686" s="2">
        <v>0.53337052069560831</v>
      </c>
      <c r="D686">
        <v>-15798.144982072767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>
      <c r="A687" s="2">
        <v>685</v>
      </c>
      <c r="B687">
        <v>35317.301136446229</v>
      </c>
      <c r="C687" s="2">
        <v>0.38564913449458027</v>
      </c>
      <c r="D687">
        <v>-23747.827101608818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>
      <c r="A688" s="2">
        <v>686</v>
      </c>
      <c r="B688">
        <v>23590.965554721442</v>
      </c>
      <c r="C688" s="2">
        <v>0.68785899488002333</v>
      </c>
      <c r="D688">
        <v>-2955.1957083207417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>
      <c r="A689" s="2">
        <v>687</v>
      </c>
      <c r="B689">
        <v>34173.474569766804</v>
      </c>
      <c r="C689" s="2">
        <v>0.60489004725261952</v>
      </c>
      <c r="D689">
        <v>-16026.77315218822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>
      <c r="A690" s="2">
        <v>688</v>
      </c>
      <c r="B690">
        <v>46273.940369443626</v>
      </c>
      <c r="C690" s="2">
        <v>0.92933473772474362</v>
      </c>
      <c r="D690">
        <v>-18393.898237701316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>
      <c r="A691" s="2">
        <v>689</v>
      </c>
      <c r="B691">
        <v>31359.332736324723</v>
      </c>
      <c r="C691" s="2">
        <v>0.55679941611442296</v>
      </c>
      <c r="D691">
        <v>-14655.350252892033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>
      <c r="A692" s="2">
        <v>690</v>
      </c>
      <c r="B692">
        <v>40555.352848314782</v>
      </c>
      <c r="C692" s="2">
        <v>0.54433009040908575</v>
      </c>
      <c r="D692">
        <v>-24225.450136042207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>
      <c r="A693" s="2">
        <v>691</v>
      </c>
      <c r="B693">
        <v>39206.326185393234</v>
      </c>
      <c r="C693" s="2">
        <v>0.78338499727748134</v>
      </c>
      <c r="D693">
        <v>-15704.776267068795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>
      <c r="A694" s="2">
        <v>692</v>
      </c>
      <c r="B694">
        <v>20832.436622360729</v>
      </c>
      <c r="C694" s="2">
        <v>0.41706880499856358</v>
      </c>
      <c r="D694">
        <v>-8320.3724724038202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>
      <c r="A695" s="2">
        <v>693</v>
      </c>
      <c r="B695">
        <v>34509.37082802807</v>
      </c>
      <c r="C695" s="2">
        <v>0.62896475568578181</v>
      </c>
      <c r="D695">
        <v>-15640.428157454615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>
      <c r="A696" s="2">
        <v>694</v>
      </c>
      <c r="B696">
        <v>48326.338917976354</v>
      </c>
      <c r="C696" s="2">
        <v>0.89047333496297187</v>
      </c>
      <c r="D696">
        <v>-21612.138869087197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>
      <c r="A697" s="2">
        <v>695</v>
      </c>
      <c r="B697">
        <v>40667.1785593569</v>
      </c>
      <c r="C697" s="2">
        <v>0.80101178605467971</v>
      </c>
      <c r="D697">
        <v>-16636.824977716507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>
      <c r="A698" s="2">
        <v>696</v>
      </c>
      <c r="B698">
        <v>27020.216068155896</v>
      </c>
      <c r="C698" s="2">
        <v>0.85803326850853501</v>
      </c>
      <c r="D698">
        <v>-1279.2180128998443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>
      <c r="A699" s="2">
        <v>697</v>
      </c>
      <c r="B699">
        <v>60466.819717146442</v>
      </c>
      <c r="C699" s="2">
        <v>0.80313180610727408</v>
      </c>
      <c r="D699">
        <v>-36372.86553392822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>
      <c r="A700" s="2">
        <v>698</v>
      </c>
      <c r="B700">
        <v>40549.383150631111</v>
      </c>
      <c r="C700" s="2">
        <v>0.9140206384629932</v>
      </c>
      <c r="D700">
        <v>-13128.763996741316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>
      <c r="A701" s="2">
        <v>699</v>
      </c>
      <c r="B701">
        <v>34295.74442660412</v>
      </c>
      <c r="C701" s="2">
        <v>0.70327306107125875</v>
      </c>
      <c r="D701">
        <v>-13197.552594466357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>
      <c r="A702" s="2">
        <v>700</v>
      </c>
      <c r="B702">
        <v>41027.869300910745</v>
      </c>
      <c r="C702" s="2">
        <v>0.90921176128255476</v>
      </c>
      <c r="D702">
        <v>-13751.516462434101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>
      <c r="A703" s="2">
        <v>701</v>
      </c>
      <c r="B703">
        <v>56992.613221988533</v>
      </c>
      <c r="C703" s="2">
        <v>0.73987637267763984</v>
      </c>
      <c r="D703">
        <v>-34796.322041659339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>
      <c r="A704" s="2">
        <v>702</v>
      </c>
      <c r="B704">
        <v>22240.122593188687</v>
      </c>
      <c r="C704" s="2">
        <v>0.34277540492434277</v>
      </c>
      <c r="D704">
        <v>-11956.860445458404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>
      <c r="A705" s="2">
        <v>703</v>
      </c>
      <c r="B705">
        <v>42777.245240898847</v>
      </c>
      <c r="C705" s="2">
        <v>0.74864285385998497</v>
      </c>
      <c r="D705">
        <v>-20317.959625099298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>
      <c r="A706" s="2">
        <v>704</v>
      </c>
      <c r="B706">
        <v>26322.460676702191</v>
      </c>
      <c r="C706" s="2">
        <v>0.81055496271753324</v>
      </c>
      <c r="D706">
        <v>-2005.8117951761924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>
      <c r="A707" s="2">
        <v>705</v>
      </c>
      <c r="B707">
        <v>22230.786347712557</v>
      </c>
      <c r="C707" s="2">
        <v>0.1951477836521216</v>
      </c>
      <c r="D707">
        <v>-16376.352838148909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>
      <c r="A708" s="2">
        <v>706</v>
      </c>
      <c r="B708">
        <v>22892.788557797707</v>
      </c>
      <c r="C708" s="2">
        <v>0.87093533394347333</v>
      </c>
      <c r="D708">
        <v>3235.2714605064939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>
      <c r="A709" s="2">
        <v>707</v>
      </c>
      <c r="B709">
        <v>28467.821925176962</v>
      </c>
      <c r="C709" s="2">
        <v>0.45030488800224511</v>
      </c>
      <c r="D709">
        <v>-14958.67528510961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>
      <c r="A710" s="2">
        <v>708</v>
      </c>
      <c r="B710">
        <v>69523.446493741794</v>
      </c>
      <c r="C710" s="2">
        <v>0.45239692037839352</v>
      </c>
      <c r="D710">
        <v>-55951.538882389985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>
      <c r="A711" s="2">
        <v>709</v>
      </c>
      <c r="B711">
        <v>26952.995486680404</v>
      </c>
      <c r="C711" s="2">
        <v>0.43187020610142102</v>
      </c>
      <c r="D711">
        <v>-13996.889303637774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>
      <c r="A712" s="2">
        <v>710</v>
      </c>
      <c r="B712">
        <v>28216.408011998465</v>
      </c>
      <c r="C712" s="2">
        <v>0.81449369515755676</v>
      </c>
      <c r="D712">
        <v>-3781.5971572717608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>
      <c r="A713" s="2">
        <v>711</v>
      </c>
      <c r="B713">
        <v>23469.57595855699</v>
      </c>
      <c r="C713" s="2">
        <v>0.54103575806966875</v>
      </c>
      <c r="D713">
        <v>-7238.5032164669283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>
      <c r="A714" s="2">
        <v>712</v>
      </c>
      <c r="B714">
        <v>21921.00888853005</v>
      </c>
      <c r="C714" s="2">
        <v>0.58669180509077479</v>
      </c>
      <c r="D714">
        <v>-4320.2547358068077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>
      <c r="A715" s="2">
        <v>713</v>
      </c>
      <c r="B715">
        <v>43823.890144735167</v>
      </c>
      <c r="C715" s="2">
        <v>0.86259136394136937</v>
      </c>
      <c r="D715">
        <v>-17946.149226494086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>
      <c r="A716" s="2">
        <v>714</v>
      </c>
      <c r="B716">
        <v>32286.27458215542</v>
      </c>
      <c r="C716" s="2">
        <v>0.56341709040629628</v>
      </c>
      <c r="D716">
        <v>-15383.761869966533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>
      <c r="A717" s="2">
        <v>715</v>
      </c>
      <c r="B717">
        <v>38272.895487475485</v>
      </c>
      <c r="C717" s="2">
        <v>0.72518489782009254</v>
      </c>
      <c r="D717">
        <v>-16517.348552872711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>
      <c r="A718" s="2">
        <v>716</v>
      </c>
      <c r="B718">
        <v>27491.950114290717</v>
      </c>
      <c r="C718" s="2">
        <v>0.62600816575567064</v>
      </c>
      <c r="D718">
        <v>-8711.7051416205977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>
      <c r="A719" s="2">
        <v>717</v>
      </c>
      <c r="B719">
        <v>44131.176767272031</v>
      </c>
      <c r="C719" s="2">
        <v>0.41564908144709523</v>
      </c>
      <c r="D719">
        <v>-31661.704323859172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>
      <c r="A720" s="2">
        <v>718</v>
      </c>
      <c r="B720">
        <v>31745.594979917558</v>
      </c>
      <c r="C720" s="2">
        <v>0.81350446346795446</v>
      </c>
      <c r="D720">
        <v>-7340.461075878924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>
      <c r="A721" s="2">
        <v>719</v>
      </c>
      <c r="B721">
        <v>25438.990438126901</v>
      </c>
      <c r="C721" s="2">
        <v>0.6258851398118479</v>
      </c>
      <c r="D721">
        <v>-6662.4362437714626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>
      <c r="A722" s="2">
        <v>720</v>
      </c>
      <c r="B722">
        <v>34876.601889370933</v>
      </c>
      <c r="C722" s="2">
        <v>0.51199430555010705</v>
      </c>
      <c r="D722">
        <v>-19516.772722867721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>
      <c r="A723" s="2">
        <v>721</v>
      </c>
      <c r="B723">
        <v>25243.836856464746</v>
      </c>
      <c r="C723" s="2">
        <v>0.76596884414887056</v>
      </c>
      <c r="D723">
        <v>-2264.771531998631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>
      <c r="A724" s="2">
        <v>722</v>
      </c>
      <c r="B724">
        <v>30546.252626001267</v>
      </c>
      <c r="C724" s="2">
        <v>0.50285318057127015</v>
      </c>
      <c r="D724">
        <v>-15460.657208863162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>
      <c r="A725" s="2">
        <v>723</v>
      </c>
      <c r="B725">
        <v>32470.431904867277</v>
      </c>
      <c r="C725" s="2">
        <v>0.65087715813327818</v>
      </c>
      <c r="D725">
        <v>-12944.117160868933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>
      <c r="A726" s="2">
        <v>724</v>
      </c>
      <c r="B726">
        <v>18544.646997585456</v>
      </c>
      <c r="C726" s="2">
        <v>0.84060758068700236</v>
      </c>
      <c r="D726">
        <v>6673.580423024614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>
      <c r="A727" s="2">
        <v>725</v>
      </c>
      <c r="B727">
        <v>47781.494363444057</v>
      </c>
      <c r="C727" s="2">
        <v>0.63423801702824822</v>
      </c>
      <c r="D727">
        <v>-28754.353852596611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>
      <c r="A728" s="2">
        <v>726</v>
      </c>
      <c r="B728">
        <v>32227.873076403746</v>
      </c>
      <c r="C728" s="2">
        <v>0.54701643132029032</v>
      </c>
      <c r="D728">
        <v>-15817.380136795036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>
      <c r="A729" s="2">
        <v>727</v>
      </c>
      <c r="B729">
        <v>28269.363756315572</v>
      </c>
      <c r="C729" s="2">
        <v>0.33760352844190966</v>
      </c>
      <c r="D729">
        <v>-18141.257903058282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>
      <c r="A730" s="2">
        <v>728</v>
      </c>
      <c r="B730">
        <v>40367.982722406145</v>
      </c>
      <c r="C730" s="2">
        <v>0.73685085912332249</v>
      </c>
      <c r="D730">
        <v>-18262.456948706469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>
      <c r="A731" s="2">
        <v>729</v>
      </c>
      <c r="B731">
        <v>15769.055063347136</v>
      </c>
      <c r="C731" s="2">
        <v>0.50874913216798356</v>
      </c>
      <c r="D731">
        <v>-506.58109830762805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>
      <c r="A732" s="2">
        <v>730</v>
      </c>
      <c r="B732">
        <v>36542.193029242917</v>
      </c>
      <c r="C732" s="2">
        <v>0.48732695975854701</v>
      </c>
      <c r="D732">
        <v>-21922.384236486505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>
      <c r="A733" s="2">
        <v>731</v>
      </c>
      <c r="B733">
        <v>29475.480556412818</v>
      </c>
      <c r="C733" s="2">
        <v>0.41785306538295197</v>
      </c>
      <c r="D733">
        <v>-16939.888594924261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>
      <c r="A734" s="2">
        <v>732</v>
      </c>
      <c r="B734">
        <v>51827.36757278553</v>
      </c>
      <c r="C734" s="2">
        <v>0.49605100429779014</v>
      </c>
      <c r="D734">
        <v>-36945.837443851822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>
      <c r="A735" s="2">
        <v>733</v>
      </c>
      <c r="B735">
        <v>22360.710072222959</v>
      </c>
      <c r="C735" s="2">
        <v>0.51999731279195527</v>
      </c>
      <c r="D735">
        <v>-6760.7906884643016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>
      <c r="A736" s="2">
        <v>734</v>
      </c>
      <c r="B736">
        <v>30983.213377024607</v>
      </c>
      <c r="C736" s="2">
        <v>0.77975579367892656</v>
      </c>
      <c r="D736">
        <v>-7590.5395666568111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>
      <c r="A737" s="2">
        <v>735</v>
      </c>
      <c r="B737">
        <v>37888.408913128798</v>
      </c>
      <c r="C737" s="2">
        <v>0.3968752107766087</v>
      </c>
      <c r="D737">
        <v>-25982.152589830537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>
      <c r="A738" s="2">
        <v>736</v>
      </c>
      <c r="B738">
        <v>35224.903258754755</v>
      </c>
      <c r="C738" s="2">
        <v>0.58070376999028261</v>
      </c>
      <c r="D738">
        <v>-17803.790159046275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>
      <c r="A739" s="2">
        <v>737</v>
      </c>
      <c r="B739">
        <v>40897.588475873898</v>
      </c>
      <c r="C739" s="2">
        <v>0.58647487376609897</v>
      </c>
      <c r="D739">
        <v>-23303.342262890928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>
      <c r="A740" s="2">
        <v>738</v>
      </c>
      <c r="B740">
        <v>45028.802462892694</v>
      </c>
      <c r="C740" s="2">
        <v>0.69320136292629564</v>
      </c>
      <c r="D740">
        <v>-24232.761575103825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>
      <c r="A741" s="2">
        <v>739</v>
      </c>
      <c r="B741">
        <v>37028.749010235188</v>
      </c>
      <c r="C741" s="2">
        <v>0.37728061935322921</v>
      </c>
      <c r="D741">
        <v>-25710.330429638314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>
      <c r="A742" s="2">
        <v>740</v>
      </c>
      <c r="B742">
        <v>35568.050211716516</v>
      </c>
      <c r="C742" s="2">
        <v>0.73466503311691644</v>
      </c>
      <c r="D742">
        <v>-13528.099218209023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>
      <c r="A743" s="2">
        <v>741</v>
      </c>
      <c r="B743">
        <v>28145.641922281924</v>
      </c>
      <c r="C743" s="2">
        <v>0.48361221078977068</v>
      </c>
      <c r="D743">
        <v>-13637.275598588803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>
      <c r="A744" s="2">
        <v>742</v>
      </c>
      <c r="B744">
        <v>25402.66945358774</v>
      </c>
      <c r="C744" s="2">
        <v>0.23926580640529194</v>
      </c>
      <c r="D744">
        <v>-18224.69526142898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>
      <c r="A745" s="2">
        <v>743</v>
      </c>
      <c r="B745">
        <v>46343.833273835546</v>
      </c>
      <c r="C745" s="2">
        <v>0.75118473298915234</v>
      </c>
      <c r="D745">
        <v>-23808.291284160976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>
      <c r="A746" s="2">
        <v>744</v>
      </c>
      <c r="B746">
        <v>33101.697484338256</v>
      </c>
      <c r="C746" s="2">
        <v>0.53882703500375118</v>
      </c>
      <c r="D746">
        <v>-16936.886434225722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>
      <c r="A747" s="2">
        <v>745</v>
      </c>
      <c r="B747">
        <v>34313.606251748919</v>
      </c>
      <c r="C747" s="2">
        <v>0.62722961675651345</v>
      </c>
      <c r="D747">
        <v>-15496.717749053514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>
      <c r="A748" s="2">
        <v>746</v>
      </c>
      <c r="B748">
        <v>27471.684364749082</v>
      </c>
      <c r="C748" s="2">
        <v>0.8016300418685105</v>
      </c>
      <c r="D748">
        <v>-3422.7831086937658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>
      <c r="A749" s="2">
        <v>747</v>
      </c>
      <c r="B749">
        <v>29989.747517471027</v>
      </c>
      <c r="C749" s="2">
        <v>0.59599692095097034</v>
      </c>
      <c r="D749">
        <v>-12109.839888941915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>
      <c r="A750" s="2">
        <v>748</v>
      </c>
      <c r="B750">
        <v>18306.14781320341</v>
      </c>
      <c r="C750" s="2">
        <v>0.79201478574331086</v>
      </c>
      <c r="D750">
        <v>5454.2957590959159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>
      <c r="A751" s="2">
        <v>749</v>
      </c>
      <c r="B751">
        <v>26575.890592564181</v>
      </c>
      <c r="C751" s="2">
        <v>0.92535062042277261</v>
      </c>
      <c r="D751">
        <v>1184.6280201189984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>
      <c r="A752" s="2">
        <v>750</v>
      </c>
      <c r="B752">
        <v>25088.391503695748</v>
      </c>
      <c r="C752" s="2">
        <v>0.45964294257321847</v>
      </c>
      <c r="D752">
        <v>-11299.103226499194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>
      <c r="A753" s="2">
        <v>751</v>
      </c>
      <c r="B753">
        <v>21743.401525424699</v>
      </c>
      <c r="C753" s="2">
        <v>0.59557026723935524</v>
      </c>
      <c r="D753">
        <v>-3876.2935082440417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>
      <c r="A754" s="2">
        <v>752</v>
      </c>
      <c r="B754">
        <v>22228.342395207335</v>
      </c>
      <c r="C754" s="2">
        <v>0.53025545412529174</v>
      </c>
      <c r="D754">
        <v>-6320.6787714485836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>
      <c r="A755" s="2">
        <v>753</v>
      </c>
      <c r="B755">
        <v>47584.487206707818</v>
      </c>
      <c r="C755" s="2">
        <v>0.61693213247162726</v>
      </c>
      <c r="D755">
        <v>-29076.523232559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>
      <c r="A756" s="2">
        <v>754</v>
      </c>
      <c r="B756">
        <v>39647.788832393569</v>
      </c>
      <c r="C756" s="2">
        <v>0.48506373865928754</v>
      </c>
      <c r="D756">
        <v>-25095.876672614944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>
      <c r="A757" s="2">
        <v>755</v>
      </c>
      <c r="B757">
        <v>37506.394727366307</v>
      </c>
      <c r="C757" s="2">
        <v>0.72241638352058524</v>
      </c>
      <c r="D757">
        <v>-15833.903221748751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>
      <c r="A758" s="2">
        <v>756</v>
      </c>
      <c r="B758">
        <v>34167.848264332293</v>
      </c>
      <c r="C758" s="2">
        <v>0.64674760282532096</v>
      </c>
      <c r="D758">
        <v>-14765.420179572666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>
      <c r="A759" s="2">
        <v>757</v>
      </c>
      <c r="B759">
        <v>47456.354644420608</v>
      </c>
      <c r="C759" s="2">
        <v>0.79499206624344132</v>
      </c>
      <c r="D759">
        <v>-23606.59265711737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>
      <c r="A760" s="2">
        <v>758</v>
      </c>
      <c r="B760">
        <v>35892.236225439578</v>
      </c>
      <c r="C760" s="2">
        <v>0.73644383933455382</v>
      </c>
      <c r="D760">
        <v>-13798.921045402964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>
      <c r="A761" s="2">
        <v>759</v>
      </c>
      <c r="B761">
        <v>35087.861006162966</v>
      </c>
      <c r="C761" s="2">
        <v>0.30071682618407047</v>
      </c>
      <c r="D761">
        <v>-26066.356220640853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>
      <c r="A762" s="2">
        <v>760</v>
      </c>
      <c r="B762">
        <v>28998.751793234784</v>
      </c>
      <c r="C762" s="2">
        <v>0.59203986934599007</v>
      </c>
      <c r="D762">
        <v>-11237.555712855083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>
      <c r="A763" s="2">
        <v>761</v>
      </c>
      <c r="B763">
        <v>30205.72874492572</v>
      </c>
      <c r="C763" s="2">
        <v>0.45329149995934248</v>
      </c>
      <c r="D763">
        <v>-16606.983746145444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>
      <c r="A764" s="2">
        <v>762</v>
      </c>
      <c r="B764">
        <v>25136.360115081254</v>
      </c>
      <c r="C764" s="2">
        <v>0.67281303510312518</v>
      </c>
      <c r="D764">
        <v>-4951.9690619875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>
      <c r="A765" s="2">
        <v>763</v>
      </c>
      <c r="B765">
        <v>37349.93585546231</v>
      </c>
      <c r="C765" s="2">
        <v>0.69574215304483222</v>
      </c>
      <c r="D765">
        <v>-16477.671264117344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>
      <c r="A766" s="2">
        <v>764</v>
      </c>
      <c r="B766">
        <v>40536.477972701614</v>
      </c>
      <c r="C766" s="2">
        <v>0.27423554317087273</v>
      </c>
      <c r="D766">
        <v>-32309.41167757543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>
      <c r="A767" s="2">
        <v>765</v>
      </c>
      <c r="B767">
        <v>39635.445789838312</v>
      </c>
      <c r="C767" s="2">
        <v>0.87941004358161146</v>
      </c>
      <c r="D767">
        <v>-13253.144482389969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>
      <c r="A768" s="2">
        <v>766</v>
      </c>
      <c r="B768">
        <v>26732.206548787122</v>
      </c>
      <c r="C768" s="2">
        <v>0.45213229027049384</v>
      </c>
      <c r="D768">
        <v>-13168.237840672307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>
      <c r="A769" s="2">
        <v>767</v>
      </c>
      <c r="B769">
        <v>32311.691535565122</v>
      </c>
      <c r="C769" s="2">
        <v>0.61247716838961819</v>
      </c>
      <c r="D769">
        <v>-13937.376483876575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>
      <c r="A770" s="2">
        <v>768</v>
      </c>
      <c r="B770">
        <v>20682.200131611404</v>
      </c>
      <c r="C770" s="2">
        <v>0.28334485216343119</v>
      </c>
      <c r="D770">
        <v>-12181.854566708467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>
      <c r="A771" s="2">
        <v>769</v>
      </c>
      <c r="B771">
        <v>31079.61729451389</v>
      </c>
      <c r="C771" s="2">
        <v>0.55679403057226629</v>
      </c>
      <c r="D771">
        <v>-14375.796377345901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>
      <c r="A772" s="2">
        <v>770</v>
      </c>
      <c r="B772">
        <v>43764.200583564285</v>
      </c>
      <c r="C772" s="2">
        <v>0.82147025088198888</v>
      </c>
      <c r="D772">
        <v>-19120.093057104619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>
      <c r="A773" s="2">
        <v>771</v>
      </c>
      <c r="B773">
        <v>24289.598847114401</v>
      </c>
      <c r="C773" s="2">
        <v>0.52497126781437053</v>
      </c>
      <c r="D773">
        <v>-8540.4608126832845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>
      <c r="A774" s="2">
        <v>772</v>
      </c>
      <c r="B774">
        <v>32214.005020201206</v>
      </c>
      <c r="C774" s="2">
        <v>0.79547416180976205</v>
      </c>
      <c r="D774">
        <v>-8349.7801659083452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>
      <c r="A775" s="2">
        <v>773</v>
      </c>
      <c r="B775">
        <v>30206.059618230131</v>
      </c>
      <c r="C775" s="2">
        <v>0.93316472979315135</v>
      </c>
      <c r="D775">
        <v>-2211.1177244355895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>
      <c r="A776" s="2">
        <v>774</v>
      </c>
      <c r="B776">
        <v>32121.230836368544</v>
      </c>
      <c r="C776" s="2">
        <v>0.3590424984408751</v>
      </c>
      <c r="D776">
        <v>-21349.955883142291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>
      <c r="A777" s="2">
        <v>775</v>
      </c>
      <c r="B777">
        <v>39689.432125695545</v>
      </c>
      <c r="C777" s="2">
        <v>0.48727375937183237</v>
      </c>
      <c r="D777">
        <v>-25071.219344540572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>
      <c r="A778" s="2">
        <v>776</v>
      </c>
      <c r="B778">
        <v>35269.715137932137</v>
      </c>
      <c r="C778" s="2">
        <v>0.43604257319124451</v>
      </c>
      <c r="D778">
        <v>-22188.437942194803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>
      <c r="A779" s="2">
        <v>777</v>
      </c>
      <c r="B779">
        <v>48105.285813242277</v>
      </c>
      <c r="C779" s="2">
        <v>0.75049478813828507</v>
      </c>
      <c r="D779">
        <v>-25590.442169093723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>
      <c r="A780" s="2">
        <v>778</v>
      </c>
      <c r="B780">
        <v>19945.113518266393</v>
      </c>
      <c r="C780" s="2">
        <v>0.70300739332256712</v>
      </c>
      <c r="D780">
        <v>1145.1082814106194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>
      <c r="A781" s="2">
        <v>779</v>
      </c>
      <c r="B781">
        <v>55062.128479359439</v>
      </c>
      <c r="C781" s="2">
        <v>0.95518241784706559</v>
      </c>
      <c r="D781">
        <v>-26406.655943947469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>
      <c r="A782" s="2">
        <v>780</v>
      </c>
      <c r="B782">
        <v>28134.797739283807</v>
      </c>
      <c r="C782" s="2">
        <v>0.51001913764518569</v>
      </c>
      <c r="D782">
        <v>-12834.223609928236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>
      <c r="A783" s="2">
        <v>781</v>
      </c>
      <c r="B783">
        <v>43978.601019754504</v>
      </c>
      <c r="C783" s="2">
        <v>0.57617339979539706</v>
      </c>
      <c r="D783">
        <v>-26693.399025892591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>
      <c r="A784" s="2">
        <v>782</v>
      </c>
      <c r="B784">
        <v>34820.998426356025</v>
      </c>
      <c r="C784" s="2">
        <v>0.70039246821870882</v>
      </c>
      <c r="D784">
        <v>-13809.224379794759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>
      <c r="A785" s="2">
        <v>783</v>
      </c>
      <c r="B785">
        <v>54948.92189779719</v>
      </c>
      <c r="C785" s="2">
        <v>0.73475673154300081</v>
      </c>
      <c r="D785">
        <v>-32906.21995150717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>
      <c r="A786" s="2">
        <v>784</v>
      </c>
      <c r="B786">
        <v>30412.488181114168</v>
      </c>
      <c r="C786" s="2">
        <v>0.56771455272055893</v>
      </c>
      <c r="D786">
        <v>-13381.051599497401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>
      <c r="A787" s="2">
        <v>785</v>
      </c>
      <c r="B787">
        <v>45286.583027000466</v>
      </c>
      <c r="C787" s="2">
        <v>1.0248464055922069</v>
      </c>
      <c r="D787">
        <v>-14541.190859234259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>
      <c r="A788" s="2">
        <v>786</v>
      </c>
      <c r="B788">
        <v>32298.118152549629</v>
      </c>
      <c r="C788" s="2">
        <v>0.74984652855609757</v>
      </c>
      <c r="D788">
        <v>-9802.7222958667007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>
      <c r="A789" s="2">
        <v>787</v>
      </c>
      <c r="B789">
        <v>30437.56637928282</v>
      </c>
      <c r="C789" s="2">
        <v>0.52111707832149601</v>
      </c>
      <c r="D789">
        <v>-14804.05402963794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>
      <c r="A790" s="2">
        <v>788</v>
      </c>
      <c r="B790">
        <v>35467.780443858384</v>
      </c>
      <c r="C790" s="2">
        <v>0.56064479770288167</v>
      </c>
      <c r="D790">
        <v>-18648.436512771936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>
      <c r="A791" s="2">
        <v>789</v>
      </c>
      <c r="B791">
        <v>57319.135990167939</v>
      </c>
      <c r="C791" s="2">
        <v>0.71975724155751775</v>
      </c>
      <c r="D791">
        <v>-35726.418743442409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>
      <c r="A792" s="2">
        <v>790</v>
      </c>
      <c r="B792">
        <v>38698.098400257411</v>
      </c>
      <c r="C792" s="2">
        <v>0.44198620239392539</v>
      </c>
      <c r="D792">
        <v>-25438.51232843965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>
      <c r="A793" s="2">
        <v>791</v>
      </c>
      <c r="B793">
        <v>33090.703652404642</v>
      </c>
      <c r="C793" s="2">
        <v>0.68586132177661363</v>
      </c>
      <c r="D793">
        <v>-12514.863999106234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>
      <c r="A794" s="2">
        <v>792</v>
      </c>
      <c r="B794">
        <v>35459.145413365404</v>
      </c>
      <c r="C794" s="2">
        <v>0.88649154284520137</v>
      </c>
      <c r="D794">
        <v>-8864.3991280093614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>
      <c r="A795" s="2">
        <v>793</v>
      </c>
      <c r="B795">
        <v>59165.343581697547</v>
      </c>
      <c r="C795" s="2">
        <v>0.80054151340816704</v>
      </c>
      <c r="D795">
        <v>-35149.098179452536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>
      <c r="A796" s="2">
        <v>794</v>
      </c>
      <c r="B796">
        <v>42619.951591919104</v>
      </c>
      <c r="C796" s="2">
        <v>0.79640002603479121</v>
      </c>
      <c r="D796">
        <v>-18727.950810875369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>
      <c r="A797" s="2">
        <v>795</v>
      </c>
      <c r="B797">
        <v>25569.641601373129</v>
      </c>
      <c r="C797" s="2">
        <v>0.55854145566670188</v>
      </c>
      <c r="D797">
        <v>-8813.3979313720738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>
      <c r="A798" s="2">
        <v>796</v>
      </c>
      <c r="B798">
        <v>62646.50350092649</v>
      </c>
      <c r="C798" s="2">
        <v>0.58780709222300631</v>
      </c>
      <c r="D798">
        <v>-45012.290734236303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>
      <c r="A799" s="2">
        <v>797</v>
      </c>
      <c r="B799">
        <v>33632.792762740173</v>
      </c>
      <c r="C799" s="2">
        <v>0.38792936133246192</v>
      </c>
      <c r="D799">
        <v>-21994.911922766318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>
      <c r="A800" s="2">
        <v>798</v>
      </c>
      <c r="B800">
        <v>15461.570162525881</v>
      </c>
      <c r="C800" s="2">
        <v>0.51971610431702397</v>
      </c>
      <c r="D800">
        <v>129.91296698483893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>
      <c r="A801" s="2">
        <v>799</v>
      </c>
      <c r="B801">
        <v>40179.564975242902</v>
      </c>
      <c r="C801" s="2">
        <v>0.55720356123378756</v>
      </c>
      <c r="D801">
        <v>-23463.458138229274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>
      <c r="A802" s="2">
        <v>800</v>
      </c>
      <c r="B802">
        <v>28167.891823793238</v>
      </c>
      <c r="C802" s="2">
        <v>0.90141622205531524</v>
      </c>
      <c r="D802">
        <v>-1125.4051621337785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>
      <c r="A803" s="2">
        <v>801</v>
      </c>
      <c r="B803">
        <v>30934.171575287852</v>
      </c>
      <c r="C803" s="2">
        <v>0.48796823763760488</v>
      </c>
      <c r="D803">
        <v>-16295.124446159705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>
      <c r="A804" s="2">
        <v>802</v>
      </c>
      <c r="B804">
        <v>26041.29724518591</v>
      </c>
      <c r="C804" s="2">
        <v>0.28143109269478517</v>
      </c>
      <c r="D804">
        <v>-17598.364464342354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>
      <c r="A805" s="2">
        <v>803</v>
      </c>
      <c r="B805">
        <v>34814.058552825772</v>
      </c>
      <c r="C805" s="2">
        <v>0.47850468991260575</v>
      </c>
      <c r="D805">
        <v>-20458.917855447602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>
      <c r="A806" s="2">
        <v>804</v>
      </c>
      <c r="B806">
        <v>52047.852903833336</v>
      </c>
      <c r="C806" s="2">
        <v>0.79209487297683823</v>
      </c>
      <c r="D806">
        <v>-28285.00671452819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>
      <c r="A807" s="2">
        <v>805</v>
      </c>
      <c r="B807">
        <v>26696.366062275636</v>
      </c>
      <c r="C807" s="2">
        <v>0.5741273531189226</v>
      </c>
      <c r="D807">
        <v>-9472.5454687079582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>
      <c r="A808" s="2">
        <v>806</v>
      </c>
      <c r="B808">
        <v>25036.159639729769</v>
      </c>
      <c r="C808" s="2">
        <v>0.66337263921446366</v>
      </c>
      <c r="D808">
        <v>-5134.9804632958585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>
      <c r="A809" s="2">
        <v>807</v>
      </c>
      <c r="B809">
        <v>36823.744474003426</v>
      </c>
      <c r="C809" s="2">
        <v>0.7054749607849502</v>
      </c>
      <c r="D809">
        <v>-15659.495650454919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>
      <c r="A810" s="2">
        <v>808</v>
      </c>
      <c r="B810">
        <v>44016.525885555224</v>
      </c>
      <c r="C810" s="2">
        <v>0.5567148933044741</v>
      </c>
      <c r="D810">
        <v>-27315.079086420999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>
      <c r="A811" s="2">
        <v>809</v>
      </c>
      <c r="B811">
        <v>31828.820267026247</v>
      </c>
      <c r="C811" s="2">
        <v>0.91494433314017387</v>
      </c>
      <c r="D811">
        <v>-4380.4902728210327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>
      <c r="A812" s="2">
        <v>810</v>
      </c>
      <c r="B812">
        <v>57045.876122826703</v>
      </c>
      <c r="C812" s="2">
        <v>0.58535693896452856</v>
      </c>
      <c r="D812">
        <v>-39485.16795389085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>
      <c r="A813" s="2">
        <v>811</v>
      </c>
      <c r="B813">
        <v>39437.328013750906</v>
      </c>
      <c r="C813" s="2">
        <v>0.74330327810330665</v>
      </c>
      <c r="D813">
        <v>-17138.229670651708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>
      <c r="A814" s="2">
        <v>812</v>
      </c>
      <c r="B814">
        <v>33631.771993785347</v>
      </c>
      <c r="C814" s="2">
        <v>0.59232386434674233</v>
      </c>
      <c r="D814">
        <v>-15862.056063383076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>
      <c r="A815" s="2">
        <v>813</v>
      </c>
      <c r="B815">
        <v>35605.008204069723</v>
      </c>
      <c r="C815" s="2">
        <v>0.60617790296282092</v>
      </c>
      <c r="D815">
        <v>-17419.671115185094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>
      <c r="A816" s="2">
        <v>814</v>
      </c>
      <c r="B816">
        <v>29337.661481163304</v>
      </c>
      <c r="C816" s="2">
        <v>0.71449074950654001</v>
      </c>
      <c r="D816">
        <v>-7902.9389959671025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>
      <c r="A817" s="2">
        <v>815</v>
      </c>
      <c r="B817">
        <v>39852.557431037239</v>
      </c>
      <c r="C817" s="2">
        <v>0.731397255495702</v>
      </c>
      <c r="D817">
        <v>-17910.639766166179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>
      <c r="A818" s="2">
        <v>816</v>
      </c>
      <c r="B818">
        <v>39409.970550009224</v>
      </c>
      <c r="C818" s="2">
        <v>0.72795691221605519</v>
      </c>
      <c r="D818">
        <v>-17571.263183527568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>
      <c r="A819" s="2">
        <v>817</v>
      </c>
      <c r="B819">
        <v>43819.708062255624</v>
      </c>
      <c r="C819" s="2">
        <v>0.75819932913625299</v>
      </c>
      <c r="D819">
        <v>-21073.728188168036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>
      <c r="A820" s="2">
        <v>818</v>
      </c>
      <c r="B820">
        <v>43195.148269043028</v>
      </c>
      <c r="C820" s="2">
        <v>0.37064542830442404</v>
      </c>
      <c r="D820">
        <v>-32075.785419910306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>
      <c r="A821" s="2">
        <v>819</v>
      </c>
      <c r="B821">
        <v>37861.760507918698</v>
      </c>
      <c r="C821" s="2">
        <v>0.74729620422724063</v>
      </c>
      <c r="D821">
        <v>-15442.874381101479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>
      <c r="A822" s="2">
        <v>820</v>
      </c>
      <c r="B822">
        <v>37996.539548829351</v>
      </c>
      <c r="C822" s="2">
        <v>0.6997750025401126</v>
      </c>
      <c r="D822">
        <v>-17003.289472625973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>
      <c r="A823" s="2">
        <v>821</v>
      </c>
      <c r="B823">
        <v>32180.897242160696</v>
      </c>
      <c r="C823" s="2">
        <v>0.44650991576604682</v>
      </c>
      <c r="D823">
        <v>-18785.599769179291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>
      <c r="A824" s="2">
        <v>822</v>
      </c>
      <c r="B824">
        <v>50194.314607927561</v>
      </c>
      <c r="C824" s="2">
        <v>0.54585271983969164</v>
      </c>
      <c r="D824">
        <v>-33818.733012736811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>
      <c r="A825" s="2">
        <v>823</v>
      </c>
      <c r="B825">
        <v>42829.765711907741</v>
      </c>
      <c r="C825" s="2">
        <v>0.62683583136269494</v>
      </c>
      <c r="D825">
        <v>-24024.690771026893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>
      <c r="A826" s="2">
        <v>824</v>
      </c>
      <c r="B826">
        <v>28817.17783889352</v>
      </c>
      <c r="C826" s="2">
        <v>0.51984560324956708</v>
      </c>
      <c r="D826">
        <v>-13221.809741406507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>
      <c r="A827" s="2">
        <v>825</v>
      </c>
      <c r="B827">
        <v>23701.704930191248</v>
      </c>
      <c r="C827" s="2">
        <v>0.58993577621633086</v>
      </c>
      <c r="D827">
        <v>-6003.6316437013229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>
      <c r="A828" s="2">
        <v>826</v>
      </c>
      <c r="B828">
        <v>28832.584646236843</v>
      </c>
      <c r="C828" s="2">
        <v>0.56177027634198784</v>
      </c>
      <c r="D828">
        <v>-11979.476355977207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>
      <c r="A829" s="2">
        <v>827</v>
      </c>
      <c r="B829">
        <v>30693.035436170845</v>
      </c>
      <c r="C829" s="2">
        <v>1.0836964438844414</v>
      </c>
      <c r="D829">
        <v>1817.8578803623968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>
      <c r="A830" s="2">
        <v>828</v>
      </c>
      <c r="B830">
        <v>33494.445235402934</v>
      </c>
      <c r="C830" s="2">
        <v>0.5104452991620132</v>
      </c>
      <c r="D830">
        <v>-18181.086260542539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>
      <c r="A831" s="2">
        <v>829</v>
      </c>
      <c r="B831">
        <v>31613.483748447172</v>
      </c>
      <c r="C831" s="2">
        <v>0.84030766928305667</v>
      </c>
      <c r="D831">
        <v>-6404.253669955473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>
      <c r="A832" s="2">
        <v>830</v>
      </c>
      <c r="B832">
        <v>27919.09944856503</v>
      </c>
      <c r="C832" s="2">
        <v>0.57200643409150453</v>
      </c>
      <c r="D832">
        <v>-10758.906425819892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>
      <c r="A833" s="2">
        <v>831</v>
      </c>
      <c r="B833">
        <v>44457.49975610173</v>
      </c>
      <c r="C833" s="2">
        <v>0.49216968131889649</v>
      </c>
      <c r="D833">
        <v>-29692.409316534835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>
      <c r="A834" s="2">
        <v>832</v>
      </c>
      <c r="B834">
        <v>38725.272321068893</v>
      </c>
      <c r="C834" s="2">
        <v>0.97176302233430789</v>
      </c>
      <c r="D834">
        <v>-9572.3816510396573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>
      <c r="A835" s="2">
        <v>833</v>
      </c>
      <c r="B835">
        <v>30736.339947053973</v>
      </c>
      <c r="C835" s="2">
        <v>0.4514309094496205</v>
      </c>
      <c r="D835">
        <v>-17193.412663565359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>
      <c r="A836" s="2">
        <v>834</v>
      </c>
      <c r="B836">
        <v>36984.619210392179</v>
      </c>
      <c r="C836" s="2">
        <v>0.74295586443290218</v>
      </c>
      <c r="D836">
        <v>-14695.943277405113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>
      <c r="A837" s="2">
        <v>835</v>
      </c>
      <c r="B837">
        <v>32204.514775494099</v>
      </c>
      <c r="C837" s="2">
        <v>0.3483747276569884</v>
      </c>
      <c r="D837">
        <v>-21753.272945784447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>
      <c r="A838" s="2">
        <v>836</v>
      </c>
      <c r="B838">
        <v>31226.331429166894</v>
      </c>
      <c r="C838" s="2">
        <v>0.93396559019534253</v>
      </c>
      <c r="D838">
        <v>-3207.3637233066183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>
      <c r="A839" s="2">
        <v>837</v>
      </c>
      <c r="B839">
        <v>30923.46353009405</v>
      </c>
      <c r="C839" s="2">
        <v>0.76621707533835415</v>
      </c>
      <c r="D839">
        <v>-7936.9512699434272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>
      <c r="A840" s="2">
        <v>838</v>
      </c>
      <c r="B840">
        <v>32030.845373341472</v>
      </c>
      <c r="C840" s="2">
        <v>0.69056575173446388</v>
      </c>
      <c r="D840">
        <v>-11313.872821307556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>
      <c r="A841" s="2">
        <v>839</v>
      </c>
      <c r="B841">
        <v>20067.562848852649</v>
      </c>
      <c r="C841" s="2">
        <v>0.59231932788440367</v>
      </c>
      <c r="D841">
        <v>-2297.9830123205393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>
      <c r="A842" s="2">
        <v>840</v>
      </c>
      <c r="B842">
        <v>45810.354702666824</v>
      </c>
      <c r="C842" s="2">
        <v>0.48577770053198743</v>
      </c>
      <c r="D842">
        <v>-31237.023686707202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>
      <c r="A843" s="2">
        <v>841</v>
      </c>
      <c r="B843">
        <v>19507.536664693806</v>
      </c>
      <c r="C843" s="2">
        <v>0.27517034073260982</v>
      </c>
      <c r="D843">
        <v>-11252.42644271551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>
      <c r="A844" s="2">
        <v>842</v>
      </c>
      <c r="B844">
        <v>31146.526232982505</v>
      </c>
      <c r="C844" s="2">
        <v>0.64704755853801732</v>
      </c>
      <c r="D844">
        <v>-11735.099476841984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>
      <c r="A845" s="2">
        <v>843</v>
      </c>
      <c r="B845">
        <v>40575.814290343042</v>
      </c>
      <c r="C845" s="2">
        <v>0.55129982823070378</v>
      </c>
      <c r="D845">
        <v>-24036.819443421929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>
      <c r="A846" s="2">
        <v>844</v>
      </c>
      <c r="B846">
        <v>60042.986878484597</v>
      </c>
      <c r="C846" s="2">
        <v>0.76349347594803807</v>
      </c>
      <c r="D846">
        <v>-37138.182600043452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>
      <c r="A847" s="2">
        <v>845</v>
      </c>
      <c r="B847">
        <v>30577.461073089522</v>
      </c>
      <c r="C847" s="2">
        <v>0.69143052897796786</v>
      </c>
      <c r="D847">
        <v>-9834.5452037504874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>
      <c r="A848" s="2">
        <v>846</v>
      </c>
      <c r="B848">
        <v>18411.21913442752</v>
      </c>
      <c r="C848" s="2">
        <v>0.74981047682315705</v>
      </c>
      <c r="D848">
        <v>4083.0951702671919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>
      <c r="A849" s="2">
        <v>847</v>
      </c>
      <c r="B849">
        <v>35200.912017900875</v>
      </c>
      <c r="C849" s="2">
        <v>0.53525846307635927</v>
      </c>
      <c r="D849">
        <v>-19143.158125610098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>
      <c r="A850" s="2">
        <v>848</v>
      </c>
      <c r="B850">
        <v>63844.379437691132</v>
      </c>
      <c r="C850" s="2">
        <v>0.75499171267884968</v>
      </c>
      <c r="D850">
        <v>-41194.628057325637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>
      <c r="A851" s="2">
        <v>849</v>
      </c>
      <c r="B851">
        <v>53300.490297344353</v>
      </c>
      <c r="C851" s="2">
        <v>0.60789195391008044</v>
      </c>
      <c r="D851">
        <v>-35063.731680041936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>
      <c r="A852" s="2">
        <v>850</v>
      </c>
      <c r="B852">
        <v>22385.620413493532</v>
      </c>
      <c r="C852" s="2">
        <v>0.53297988037327237</v>
      </c>
      <c r="D852">
        <v>-6396.2240022953611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>
      <c r="A853" s="2">
        <v>851</v>
      </c>
      <c r="B853">
        <v>30387.855564743651</v>
      </c>
      <c r="C853" s="2">
        <v>0.57177035129387987</v>
      </c>
      <c r="D853">
        <v>-13234.745025927255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>
      <c r="A854" s="2">
        <v>852</v>
      </c>
      <c r="B854">
        <v>27572.180442696736</v>
      </c>
      <c r="C854" s="2">
        <v>0.41755760133570519</v>
      </c>
      <c r="D854">
        <v>-15045.45240262558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>
      <c r="A855" s="2">
        <v>853</v>
      </c>
      <c r="B855">
        <v>35721.741673246201</v>
      </c>
      <c r="C855" s="2">
        <v>0.55407521558649564</v>
      </c>
      <c r="D855">
        <v>-19099.48520565133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>
      <c r="A856" s="2">
        <v>854</v>
      </c>
      <c r="B856">
        <v>35329.041458753709</v>
      </c>
      <c r="C856" s="2">
        <v>0.65759361024183227</v>
      </c>
      <c r="D856">
        <v>-15601.233151498742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>
      <c r="A857" s="2">
        <v>855</v>
      </c>
      <c r="B857">
        <v>35907.674688954794</v>
      </c>
      <c r="C857" s="2">
        <v>0.51160467208185056</v>
      </c>
      <c r="D857">
        <v>-20559.534526499279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>
      <c r="A858" s="2">
        <v>856</v>
      </c>
      <c r="B858">
        <v>19944.349607735014</v>
      </c>
      <c r="C858" s="2">
        <v>0.42177982715429541</v>
      </c>
      <c r="D858">
        <v>-7290.9547931061516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>
      <c r="A859" s="2">
        <v>857</v>
      </c>
      <c r="B859">
        <v>40754.1326026241</v>
      </c>
      <c r="C859" s="2">
        <v>0.64712154605188332</v>
      </c>
      <c r="D859">
        <v>-21340.4862210676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>
      <c r="A860" s="2">
        <v>858</v>
      </c>
      <c r="B860">
        <v>53838.213684645474</v>
      </c>
      <c r="C860" s="2">
        <v>0.85520800208141146</v>
      </c>
      <c r="D860">
        <v>-28181.973622203132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>
      <c r="A861" s="2">
        <v>859</v>
      </c>
      <c r="B861">
        <v>49072.839717757175</v>
      </c>
      <c r="C861" s="2">
        <v>0.87607411730224571</v>
      </c>
      <c r="D861">
        <v>-22790.616198689804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>
      <c r="A862" s="2">
        <v>860</v>
      </c>
      <c r="B862">
        <v>49019.451414032679</v>
      </c>
      <c r="C862" s="2">
        <v>0.66682687242615724</v>
      </c>
      <c r="D862">
        <v>-29014.645241247963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>
      <c r="A863" s="2">
        <v>861</v>
      </c>
      <c r="B863">
        <v>37958.294658686696</v>
      </c>
      <c r="C863" s="2">
        <v>0.52987709227425683</v>
      </c>
      <c r="D863">
        <v>-22061.981890458992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>
      <c r="A864" s="2">
        <v>862</v>
      </c>
      <c r="B864">
        <v>25397.821422082554</v>
      </c>
      <c r="C864" s="2">
        <v>0.52657601850340208</v>
      </c>
      <c r="D864">
        <v>-9600.540866980491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>
      <c r="A865" s="2">
        <v>863</v>
      </c>
      <c r="B865">
        <v>38131.611482703593</v>
      </c>
      <c r="C865" s="2">
        <v>0.47164441537201141</v>
      </c>
      <c r="D865">
        <v>-23982.279021543251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>
      <c r="A866" s="2">
        <v>864</v>
      </c>
      <c r="B866">
        <v>42340.05645590827</v>
      </c>
      <c r="C866" s="2">
        <v>0.61364144256726183</v>
      </c>
      <c r="D866">
        <v>-23930.813178890414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>
      <c r="A867" s="2">
        <v>865</v>
      </c>
      <c r="B867">
        <v>54013.125462060671</v>
      </c>
      <c r="C867" s="2">
        <v>0.82211274113457788</v>
      </c>
      <c r="D867">
        <v>-29349.743228023333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>
      <c r="A868" s="2">
        <v>866</v>
      </c>
      <c r="B868">
        <v>41072.357045053024</v>
      </c>
      <c r="C868" s="2">
        <v>0.84364278465630638</v>
      </c>
      <c r="D868">
        <v>-15763.073505363835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>
      <c r="A869" s="2">
        <v>867</v>
      </c>
      <c r="B869">
        <v>41979.379831046768</v>
      </c>
      <c r="C869" s="2">
        <v>0.82362985228887431</v>
      </c>
      <c r="D869">
        <v>-17270.484262380538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>
      <c r="A870" s="2">
        <v>868</v>
      </c>
      <c r="B870">
        <v>40907.540797102476</v>
      </c>
      <c r="C870" s="2">
        <v>0.61550107815827348</v>
      </c>
      <c r="D870">
        <v>-22442.508452354272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>
      <c r="A871" s="2">
        <v>869</v>
      </c>
      <c r="B871">
        <v>56904.303164544624</v>
      </c>
      <c r="C871" s="2">
        <v>0.59164607314359574</v>
      </c>
      <c r="D871">
        <v>-39154.920970236752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>
      <c r="A872" s="2">
        <v>870</v>
      </c>
      <c r="B872">
        <v>16074.843001537629</v>
      </c>
      <c r="C872" s="2">
        <v>0.61016118080901371</v>
      </c>
      <c r="D872">
        <v>2229.9924227327829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>
      <c r="A873" s="2">
        <v>871</v>
      </c>
      <c r="B873">
        <v>16564.387727384703</v>
      </c>
      <c r="C873" s="2">
        <v>0.6836561824612537</v>
      </c>
      <c r="D873">
        <v>3945.2977464529067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>
      <c r="A874" s="2">
        <v>872</v>
      </c>
      <c r="B874">
        <v>30986.000723907549</v>
      </c>
      <c r="C874" s="2">
        <v>0.93342570578222994</v>
      </c>
      <c r="D874">
        <v>-2983.2295504406502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>
      <c r="A875" s="2">
        <v>873</v>
      </c>
      <c r="B875">
        <v>29101.642212395789</v>
      </c>
      <c r="C875" s="2">
        <v>0.26890650485458223</v>
      </c>
      <c r="D875">
        <v>-21034.447066758323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>
      <c r="A876" s="2">
        <v>874</v>
      </c>
      <c r="B876">
        <v>32804.769327363174</v>
      </c>
      <c r="C876" s="2">
        <v>0.46045563143208179</v>
      </c>
      <c r="D876">
        <v>-18991.100384400721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>
      <c r="A877" s="2">
        <v>875</v>
      </c>
      <c r="B877">
        <v>33712.142042296393</v>
      </c>
      <c r="C877" s="2">
        <v>0.45765352609364607</v>
      </c>
      <c r="D877">
        <v>-19982.536259487009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>
      <c r="A878" s="2">
        <v>876</v>
      </c>
      <c r="B878">
        <v>29697.718641663298</v>
      </c>
      <c r="C878" s="2">
        <v>0.74927800198014971</v>
      </c>
      <c r="D878">
        <v>-7219.378582258807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>
      <c r="A879" s="2">
        <v>877</v>
      </c>
      <c r="B879">
        <v>28388.747879262155</v>
      </c>
      <c r="C879" s="2">
        <v>0.86473759878085965</v>
      </c>
      <c r="D879">
        <v>-2446.619915836367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>
      <c r="A880" s="2">
        <v>878</v>
      </c>
      <c r="B880">
        <v>31987.16444803022</v>
      </c>
      <c r="C880" s="2">
        <v>0.56079328107357429</v>
      </c>
      <c r="D880">
        <v>-15163.36601582299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>
      <c r="A881" s="2">
        <v>879</v>
      </c>
      <c r="B881">
        <v>37229.093006603929</v>
      </c>
      <c r="C881" s="2">
        <v>0.63045050157375893</v>
      </c>
      <c r="D881">
        <v>-18315.577959391161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>
      <c r="A882" s="2">
        <v>880</v>
      </c>
      <c r="B882">
        <v>29250.722204281265</v>
      </c>
      <c r="C882" s="2">
        <v>0.66611114791033699</v>
      </c>
      <c r="D882">
        <v>-9267.3877669711546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>
      <c r="A883" s="2">
        <v>881</v>
      </c>
      <c r="B883">
        <v>32507.210023328153</v>
      </c>
      <c r="C883" s="2">
        <v>0.81312731344110789</v>
      </c>
      <c r="D883">
        <v>-8113.3906200949168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>
      <c r="A884" s="2">
        <v>882</v>
      </c>
      <c r="B884">
        <v>27195.349080460415</v>
      </c>
      <c r="C884" s="2">
        <v>0.95043523985725464</v>
      </c>
      <c r="D884">
        <v>1317.7081152572246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>
      <c r="A885" s="2">
        <v>883</v>
      </c>
      <c r="B885">
        <v>51107.711489615351</v>
      </c>
      <c r="C885" s="2">
        <v>0.85618522307285705</v>
      </c>
      <c r="D885">
        <v>-25422.154797429641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>
      <c r="A886" s="2">
        <v>884</v>
      </c>
      <c r="B886">
        <v>43851.94712494946</v>
      </c>
      <c r="C886" s="2">
        <v>0.90221142968302148</v>
      </c>
      <c r="D886">
        <v>-16785.604234458817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>
      <c r="A887" s="2">
        <v>885</v>
      </c>
      <c r="B887">
        <v>26811.460117211274</v>
      </c>
      <c r="C887" s="2">
        <v>0.45019565020880403</v>
      </c>
      <c r="D887">
        <v>-13305.590610947153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>
      <c r="A888" s="2">
        <v>886</v>
      </c>
      <c r="B888">
        <v>30472.513834650199</v>
      </c>
      <c r="C888" s="2">
        <v>0.59185971303235951</v>
      </c>
      <c r="D888">
        <v>-12716.722443679413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>
      <c r="A889" s="2">
        <v>887</v>
      </c>
      <c r="B889">
        <v>38927.495309220467</v>
      </c>
      <c r="C889" s="2">
        <v>0.42628557553987045</v>
      </c>
      <c r="D889">
        <v>-26138.928043024353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>
      <c r="A890" s="2">
        <v>888</v>
      </c>
      <c r="B890">
        <v>27755.830403571104</v>
      </c>
      <c r="C890" s="2">
        <v>0.74241670878048605</v>
      </c>
      <c r="D890">
        <v>-5483.329140156522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>
      <c r="A891" s="2">
        <v>889</v>
      </c>
      <c r="B891">
        <v>44085.289471175645</v>
      </c>
      <c r="C891" s="2">
        <v>0.96376899879555977</v>
      </c>
      <c r="D891">
        <v>-15172.219507308851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>
      <c r="A892" s="2">
        <v>890</v>
      </c>
      <c r="B892">
        <v>42145.728413344594</v>
      </c>
      <c r="C892" s="2">
        <v>0.71202422510527796</v>
      </c>
      <c r="D892">
        <v>-20785.001660186255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>
      <c r="A893" s="2">
        <v>891</v>
      </c>
      <c r="B893">
        <v>40082.110206124591</v>
      </c>
      <c r="C893" s="2">
        <v>0.89347046943910668</v>
      </c>
      <c r="D893">
        <v>-13277.99612295139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>
      <c r="A894" s="2">
        <v>892</v>
      </c>
      <c r="B894">
        <v>37875.83110548454</v>
      </c>
      <c r="C894" s="2">
        <v>1.4108198740341114</v>
      </c>
      <c r="D894">
        <v>4448.7651155388012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>
      <c r="A895" s="2">
        <v>893</v>
      </c>
      <c r="B895">
        <v>29697.450420600893</v>
      </c>
      <c r="C895" s="2">
        <v>0.6990509196055168</v>
      </c>
      <c r="D895">
        <v>-8725.9228324353899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>
      <c r="A896" s="2">
        <v>894</v>
      </c>
      <c r="B896">
        <v>39164.899010759393</v>
      </c>
      <c r="C896" s="2">
        <v>0.94915671509783417</v>
      </c>
      <c r="D896">
        <v>-10690.197557824369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>
      <c r="A897" s="2">
        <v>895</v>
      </c>
      <c r="B897">
        <v>47857.780239452164</v>
      </c>
      <c r="C897" s="2">
        <v>0.68374642719564527</v>
      </c>
      <c r="D897">
        <v>-27345.387423582804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>
      <c r="A898" s="2">
        <v>896</v>
      </c>
      <c r="B898">
        <v>39818.725125297111</v>
      </c>
      <c r="C898" s="2">
        <v>0.69156319357012763</v>
      </c>
      <c r="D898">
        <v>-19071.829318193282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>
      <c r="A899" s="2">
        <v>897</v>
      </c>
      <c r="B899">
        <v>40414.165351924683</v>
      </c>
      <c r="C899" s="2">
        <v>0.98368956463547752</v>
      </c>
      <c r="D899">
        <v>-10903.478412860357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>
      <c r="A900" s="2">
        <v>898</v>
      </c>
      <c r="B900">
        <v>42814.214037251979</v>
      </c>
      <c r="C900" s="2">
        <v>1.0550149030952041</v>
      </c>
      <c r="D900">
        <v>-11163.766944395858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>
      <c r="A901" s="2">
        <v>899</v>
      </c>
      <c r="B901">
        <v>27407.306389816898</v>
      </c>
      <c r="C901" s="2">
        <v>0.57074761867174484</v>
      </c>
      <c r="D901">
        <v>-10284.877829664554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>
      <c r="A902" s="2">
        <v>900</v>
      </c>
      <c r="B902">
        <v>37654.095864444847</v>
      </c>
      <c r="C902" s="2">
        <v>0.55417463379347676</v>
      </c>
      <c r="D902">
        <v>-21028.856850640546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>
      <c r="A903" s="2">
        <v>901</v>
      </c>
      <c r="B903">
        <v>48466.913530567603</v>
      </c>
      <c r="C903" s="2">
        <v>0.51935925717819953</v>
      </c>
      <c r="D903">
        <v>-32886.135815221613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>
      <c r="A904" s="2">
        <v>902</v>
      </c>
      <c r="B904">
        <v>27497.794220237629</v>
      </c>
      <c r="C904" s="2">
        <v>0.62632929845412333</v>
      </c>
      <c r="D904">
        <v>-8707.9152666139307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>
      <c r="A905" s="2">
        <v>903</v>
      </c>
      <c r="B905">
        <v>57338.865627303734</v>
      </c>
      <c r="C905" s="2">
        <v>0.55122863366180153</v>
      </c>
      <c r="D905">
        <v>-40802.00661744969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>
      <c r="A906" s="2">
        <v>904</v>
      </c>
      <c r="B906">
        <v>27388.586686914547</v>
      </c>
      <c r="C906" s="2">
        <v>0.34638494171250267</v>
      </c>
      <c r="D906">
        <v>-16997.038435539467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>
      <c r="A907" s="2">
        <v>905</v>
      </c>
      <c r="B907">
        <v>24509.835200612571</v>
      </c>
      <c r="C907" s="2">
        <v>0.44848480989449135</v>
      </c>
      <c r="D907">
        <v>-11055.290903777832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>
      <c r="A908" s="2">
        <v>906</v>
      </c>
      <c r="B908">
        <v>32960.826526807956</v>
      </c>
      <c r="C908" s="2">
        <v>0.54585049903735849</v>
      </c>
      <c r="D908">
        <v>-16585.3115556872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>
      <c r="A909" s="2">
        <v>907</v>
      </c>
      <c r="B909">
        <v>34824.57876828056</v>
      </c>
      <c r="C909" s="2">
        <v>0.67295168109608783</v>
      </c>
      <c r="D909">
        <v>-14636.028335397925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>
      <c r="A910" s="2">
        <v>908</v>
      </c>
      <c r="B910">
        <v>33309.313431854091</v>
      </c>
      <c r="C910" s="2">
        <v>0.52086196811283525</v>
      </c>
      <c r="D910">
        <v>-17683.454388469036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>
      <c r="A911" s="2">
        <v>909</v>
      </c>
      <c r="B911">
        <v>34248.857299117561</v>
      </c>
      <c r="C911" s="2">
        <v>0.88552077268452734</v>
      </c>
      <c r="D911">
        <v>-7683.2341185817422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>
      <c r="A912" s="2">
        <v>910</v>
      </c>
      <c r="B912">
        <v>28559.451101426712</v>
      </c>
      <c r="C912" s="2">
        <v>0.46944413116022443</v>
      </c>
      <c r="D912">
        <v>-14476.127166619979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>
      <c r="A913" s="2">
        <v>911</v>
      </c>
      <c r="B913">
        <v>26725.707311584862</v>
      </c>
      <c r="C913" s="2">
        <v>0.7028081840378726</v>
      </c>
      <c r="D913">
        <v>-5641.461790448684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>
      <c r="A914" s="2">
        <v>912</v>
      </c>
      <c r="B914">
        <v>27947.196066740347</v>
      </c>
      <c r="C914" s="2">
        <v>0.47728657411207132</v>
      </c>
      <c r="D914">
        <v>-13628.598843378208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>
      <c r="A915" s="2">
        <v>913</v>
      </c>
      <c r="B915">
        <v>65743.165495996189</v>
      </c>
      <c r="C915" s="2">
        <v>0.47797283459882123</v>
      </c>
      <c r="D915">
        <v>-51403.980458031554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>
      <c r="A916" s="2">
        <v>914</v>
      </c>
      <c r="B916">
        <v>32316.033665018644</v>
      </c>
      <c r="C916" s="2">
        <v>0.49062227195076846</v>
      </c>
      <c r="D916">
        <v>-17597.365506495589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>
      <c r="A917" s="2">
        <v>915</v>
      </c>
      <c r="B917">
        <v>23107.577876986645</v>
      </c>
      <c r="C917" s="2">
        <v>0.73090700674754516</v>
      </c>
      <c r="D917">
        <v>-1180.3676745602897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>
      <c r="A918" s="2">
        <v>916</v>
      </c>
      <c r="B918">
        <v>27134.441543487366</v>
      </c>
      <c r="C918" s="2">
        <v>0.5558472844275486</v>
      </c>
      <c r="D918">
        <v>-10459.023010660909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>
      <c r="A919" s="2">
        <v>917</v>
      </c>
      <c r="B919">
        <v>34661.734857322685</v>
      </c>
      <c r="C919" s="2">
        <v>0.92472233468077847</v>
      </c>
      <c r="D919">
        <v>-6920.0648168993321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>
      <c r="A920" s="2">
        <v>918</v>
      </c>
      <c r="B920">
        <v>51228.403341665195</v>
      </c>
      <c r="C920" s="2">
        <v>0.81877772657622683</v>
      </c>
      <c r="D920">
        <v>-26665.071544378388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>
      <c r="A921" s="2">
        <v>919</v>
      </c>
      <c r="B921">
        <v>33763.504872087848</v>
      </c>
      <c r="C921" s="2">
        <v>0.58819060027622583</v>
      </c>
      <c r="D921">
        <v>-16117.786863801073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>
      <c r="A922" s="2">
        <v>920</v>
      </c>
      <c r="B922">
        <v>31832.256061755892</v>
      </c>
      <c r="C922" s="2">
        <v>0.77146307149465398</v>
      </c>
      <c r="D922">
        <v>-8688.3639169162707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>
      <c r="A923" s="2">
        <v>921</v>
      </c>
      <c r="B923">
        <v>36006.224660535292</v>
      </c>
      <c r="C923" s="2">
        <v>0.53259973310783759</v>
      </c>
      <c r="D923">
        <v>-20028.232667300166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>
      <c r="A924" s="2">
        <v>922</v>
      </c>
      <c r="B924">
        <v>29143.967846522355</v>
      </c>
      <c r="C924" s="2">
        <v>0.63944907730815248</v>
      </c>
      <c r="D924">
        <v>-9960.4955272777806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>
      <c r="A925" s="2">
        <v>923</v>
      </c>
      <c r="B925">
        <v>43790.091458709001</v>
      </c>
      <c r="C925" s="2">
        <v>0.6490390058345632</v>
      </c>
      <c r="D925">
        <v>-24318.921283672105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>
      <c r="A926" s="2">
        <v>924</v>
      </c>
      <c r="B926">
        <v>27393.465229135138</v>
      </c>
      <c r="C926" s="2">
        <v>0.43981115053419417</v>
      </c>
      <c r="D926">
        <v>-14199.130713109313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>
      <c r="A927" s="2">
        <v>925</v>
      </c>
      <c r="B927">
        <v>44994.751443562745</v>
      </c>
      <c r="C927" s="2">
        <v>0.80990136306047078</v>
      </c>
      <c r="D927">
        <v>-20697.710551748623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>
      <c r="A928" s="2">
        <v>926</v>
      </c>
      <c r="B928">
        <v>31144.400119174694</v>
      </c>
      <c r="C928" s="2">
        <v>0.35459635387083566</v>
      </c>
      <c r="D928">
        <v>-20506.509503049623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>
      <c r="A929" s="2">
        <v>927</v>
      </c>
      <c r="B929">
        <v>34541.957704837449</v>
      </c>
      <c r="C929" s="2">
        <v>0.74398549325939545</v>
      </c>
      <c r="D929">
        <v>-12222.392907055586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>
      <c r="A930" s="2">
        <v>928</v>
      </c>
      <c r="B930">
        <v>28036.556829009627</v>
      </c>
      <c r="C930" s="2">
        <v>0.63477885101109721</v>
      </c>
      <c r="D930">
        <v>-8993.1912986767093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>
      <c r="A931" s="2">
        <v>929</v>
      </c>
      <c r="B931">
        <v>42563.286950945519</v>
      </c>
      <c r="C931" s="2">
        <v>0.85223663652247983</v>
      </c>
      <c r="D931">
        <v>-16996.187855271124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>
      <c r="A932" s="2">
        <v>930</v>
      </c>
      <c r="B932">
        <v>46752.818895825221</v>
      </c>
      <c r="C932" s="2">
        <v>0.84218723559965381</v>
      </c>
      <c r="D932">
        <v>-21487.201827835608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>
      <c r="A933" s="2">
        <v>931</v>
      </c>
      <c r="B933">
        <v>31354.257888382737</v>
      </c>
      <c r="C933" s="2">
        <v>0.52793708210440937</v>
      </c>
      <c r="D933">
        <v>-15516.145425250455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>
      <c r="A934" s="2">
        <v>932</v>
      </c>
      <c r="B934">
        <v>36034.548643048838</v>
      </c>
      <c r="C934" s="2">
        <v>0.85424858716500118</v>
      </c>
      <c r="D934">
        <v>-10407.091028098803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>
      <c r="A935" s="2">
        <v>933</v>
      </c>
      <c r="B935">
        <v>24714.992086738996</v>
      </c>
      <c r="C935" s="2">
        <v>0.56714780007612875</v>
      </c>
      <c r="D935">
        <v>-7700.5580844551332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>
      <c r="A936" s="2">
        <v>934</v>
      </c>
      <c r="B936">
        <v>38329.638323191575</v>
      </c>
      <c r="C936" s="2">
        <v>0.34923424829303706</v>
      </c>
      <c r="D936">
        <v>-27852.610874400463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>
      <c r="A937" s="2">
        <v>935</v>
      </c>
      <c r="B937">
        <v>31938.588572655208</v>
      </c>
      <c r="C937" s="2">
        <v>0.62273037579161694</v>
      </c>
      <c r="D937">
        <v>-13256.677298906699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>
      <c r="A938" s="2">
        <v>936</v>
      </c>
      <c r="B938">
        <v>28276.366265043616</v>
      </c>
      <c r="C938" s="2">
        <v>6.9684733293548407E-2</v>
      </c>
      <c r="D938">
        <v>-26185.824266237163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>
      <c r="A939" s="2">
        <v>937</v>
      </c>
      <c r="B939">
        <v>35518.784601352898</v>
      </c>
      <c r="C939" s="2">
        <v>0.78534291264294653</v>
      </c>
      <c r="D939">
        <v>-11958.497222064503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>
      <c r="A940" s="2">
        <v>938</v>
      </c>
      <c r="B940">
        <v>34243.964566035662</v>
      </c>
      <c r="C940" s="2">
        <v>0.46581117907573688</v>
      </c>
      <c r="D940">
        <v>-20269.629193763554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>
      <c r="A941" s="2">
        <v>939</v>
      </c>
      <c r="B941">
        <v>32295.848807667579</v>
      </c>
      <c r="C941" s="2">
        <v>0.18902837137019568</v>
      </c>
      <c r="D941">
        <v>-26624.997666561707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>
      <c r="A942" s="2">
        <v>940</v>
      </c>
      <c r="B942">
        <v>41442.069153760371</v>
      </c>
      <c r="C942" s="2">
        <v>0.80514754527002119</v>
      </c>
      <c r="D942">
        <v>-17287.642795659736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>
      <c r="A943" s="2">
        <v>941</v>
      </c>
      <c r="B943">
        <v>23052.42917874804</v>
      </c>
      <c r="C943" s="2">
        <v>0.63794375631124556</v>
      </c>
      <c r="D943">
        <v>-3914.1164894106732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>
      <c r="A944" s="2">
        <v>942</v>
      </c>
      <c r="B944">
        <v>29393.742530507479</v>
      </c>
      <c r="C944" s="2">
        <v>0.65053442836197228</v>
      </c>
      <c r="D944">
        <v>-9877.7096796483092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>
      <c r="A945" s="2">
        <v>943</v>
      </c>
      <c r="B945">
        <v>51392.211513586415</v>
      </c>
      <c r="C945" s="2">
        <v>0.82503040430122709</v>
      </c>
      <c r="D945">
        <v>-26641.299384549602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>
      <c r="A946" s="2">
        <v>944</v>
      </c>
      <c r="B946">
        <v>57275.228971845667</v>
      </c>
      <c r="C946" s="2">
        <v>0.9170134564955339</v>
      </c>
      <c r="D946">
        <v>-29764.825276979649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>
      <c r="A947" s="2">
        <v>945</v>
      </c>
      <c r="B947">
        <v>21265.047766167649</v>
      </c>
      <c r="C947" s="2">
        <v>0.45046594310724797</v>
      </c>
      <c r="D947">
        <v>-7751.0694729502102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>
      <c r="A948" s="2">
        <v>946</v>
      </c>
      <c r="B948">
        <v>31507.22515600625</v>
      </c>
      <c r="C948" s="2">
        <v>0.53032944772784907</v>
      </c>
      <c r="D948">
        <v>-15597.341724170778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>
      <c r="A949" s="2">
        <v>947</v>
      </c>
      <c r="B949">
        <v>25561.098133592146</v>
      </c>
      <c r="C949" s="2">
        <v>0.33858095554902135</v>
      </c>
      <c r="D949">
        <v>-15403.669467121506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>
      <c r="A950" s="2">
        <v>948</v>
      </c>
      <c r="B950">
        <v>44940.957420006307</v>
      </c>
      <c r="C950" s="2">
        <v>0.88656679132265626</v>
      </c>
      <c r="D950">
        <v>-18343.95368032662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>
      <c r="A951" s="2">
        <v>949</v>
      </c>
      <c r="B951">
        <v>18367.581681449017</v>
      </c>
      <c r="C951" s="2">
        <v>0.19103084739827114</v>
      </c>
      <c r="D951">
        <v>-12636.656259500884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>
      <c r="A952" s="2">
        <v>950</v>
      </c>
      <c r="B952">
        <v>19029.735830351485</v>
      </c>
      <c r="C952" s="2">
        <v>0.83601142447248122</v>
      </c>
      <c r="D952">
        <v>6050.6069038229507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>
      <c r="A953" s="2">
        <v>951</v>
      </c>
      <c r="B953">
        <v>30446.907174607528</v>
      </c>
      <c r="C953" s="2">
        <v>0.70784479410721457</v>
      </c>
      <c r="D953">
        <v>-9211.5633513910907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>
      <c r="A954" s="2">
        <v>952</v>
      </c>
      <c r="B954">
        <v>44429.276973520966</v>
      </c>
      <c r="C954" s="2">
        <v>0.81642607633632602</v>
      </c>
      <c r="D954">
        <v>-19936.494683431185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>
      <c r="A955" s="2">
        <v>953</v>
      </c>
      <c r="B955">
        <v>40534.876488926486</v>
      </c>
      <c r="C955" s="2">
        <v>0.75752802180897727</v>
      </c>
      <c r="D955">
        <v>-17809.035834657167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>
      <c r="A956" s="2">
        <v>954</v>
      </c>
      <c r="B956">
        <v>32714.897995222884</v>
      </c>
      <c r="C956" s="2">
        <v>0.68679611427869913</v>
      </c>
      <c r="D956">
        <v>-12111.014566861912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>
      <c r="A957" s="2">
        <v>955</v>
      </c>
      <c r="B957">
        <v>41753.902868697172</v>
      </c>
      <c r="C957" s="2">
        <v>0.71748442825620806</v>
      </c>
      <c r="D957">
        <v>-20229.370021010931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>
      <c r="A958" s="2">
        <v>956</v>
      </c>
      <c r="B958">
        <v>36265.48416715052</v>
      </c>
      <c r="C958" s="2">
        <v>0.99344324188629352</v>
      </c>
      <c r="D958">
        <v>-6462.1869105617152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>
      <c r="A959" s="2">
        <v>957</v>
      </c>
      <c r="B959">
        <v>15457.724461422578</v>
      </c>
      <c r="C959" s="2">
        <v>0.44543008747970947</v>
      </c>
      <c r="D959">
        <v>-2094.8218370312934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>
      <c r="A960" s="2">
        <v>958</v>
      </c>
      <c r="B960">
        <v>25433.532594278557</v>
      </c>
      <c r="C960" s="2">
        <v>0.36064189365944266</v>
      </c>
      <c r="D960">
        <v>-14614.275784495278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>
      <c r="A961" s="2">
        <v>959</v>
      </c>
      <c r="B961">
        <v>34207.429701865891</v>
      </c>
      <c r="C961" s="2">
        <v>0.72654551264073164</v>
      </c>
      <c r="D961">
        <v>-12411.064322643942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>
      <c r="A962" s="2">
        <v>960</v>
      </c>
      <c r="B962">
        <v>28329.181104898496</v>
      </c>
      <c r="C962" s="2">
        <v>0.37198818251497245</v>
      </c>
      <c r="D962">
        <v>-17169.535629449325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>
      <c r="A963" s="2">
        <v>961</v>
      </c>
      <c r="B963">
        <v>29213.083641806057</v>
      </c>
      <c r="C963" s="2">
        <v>0.50982889229237638</v>
      </c>
      <c r="D963">
        <v>-13918.216873034766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>
      <c r="A964" s="2">
        <v>962</v>
      </c>
      <c r="B964">
        <v>42422.80943608583</v>
      </c>
      <c r="C964" s="2">
        <v>0.58042279017197362</v>
      </c>
      <c r="D964">
        <v>-25010.125730926622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>
      <c r="A965" s="2">
        <v>963</v>
      </c>
      <c r="B965">
        <v>39219.360927545567</v>
      </c>
      <c r="C965" s="2">
        <v>0.54958928344283642</v>
      </c>
      <c r="D965">
        <v>-22731.682424260474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>
      <c r="A966" s="2">
        <v>964</v>
      </c>
      <c r="B966">
        <v>42514.765426380283</v>
      </c>
      <c r="C966" s="2">
        <v>0.78222093742846832</v>
      </c>
      <c r="D966">
        <v>-19048.137303526233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>
      <c r="A967" s="2">
        <v>965</v>
      </c>
      <c r="B967">
        <v>27005.787407116703</v>
      </c>
      <c r="C967" s="2">
        <v>0.47790684720709153</v>
      </c>
      <c r="D967">
        <v>-12668.581990903956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>
      <c r="A968" s="2">
        <v>966</v>
      </c>
      <c r="B968">
        <v>38974.559197227951</v>
      </c>
      <c r="C968" s="2">
        <v>0.68032776716915921</v>
      </c>
      <c r="D968">
        <v>-18564.726182153176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>
      <c r="A969" s="2">
        <v>967</v>
      </c>
      <c r="B969">
        <v>31027.743696883736</v>
      </c>
      <c r="C969" s="2">
        <v>0.66331786189960518</v>
      </c>
      <c r="D969">
        <v>-11128.207839895582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>
      <c r="A970" s="2">
        <v>968</v>
      </c>
      <c r="B970">
        <v>24742.989214694324</v>
      </c>
      <c r="C970" s="2">
        <v>0.51438006132456415</v>
      </c>
      <c r="D970">
        <v>-9311.5873749573984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>
      <c r="A971" s="2">
        <v>969</v>
      </c>
      <c r="B971">
        <v>32603.833671371081</v>
      </c>
      <c r="C971" s="2">
        <v>0.66589715734111232</v>
      </c>
      <c r="D971">
        <v>-12626.918951137712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>
      <c r="A972" s="2">
        <v>970</v>
      </c>
      <c r="B972">
        <v>26042.864511542997</v>
      </c>
      <c r="C972" s="2">
        <v>0.5072489756741696</v>
      </c>
      <c r="D972">
        <v>-10825.395241317909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>
      <c r="A973" s="2">
        <v>971</v>
      </c>
      <c r="B973">
        <v>31049.387482550774</v>
      </c>
      <c r="C973" s="2">
        <v>0.78415124558098936</v>
      </c>
      <c r="D973">
        <v>-7524.8501151210912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>
      <c r="A974" s="2">
        <v>972</v>
      </c>
      <c r="B974">
        <v>31417.297600480146</v>
      </c>
      <c r="C974" s="2">
        <v>0.61082192066684859</v>
      </c>
      <c r="D974">
        <v>-13092.639980474687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>
      <c r="A975" s="2">
        <v>973</v>
      </c>
      <c r="B975">
        <v>30826.901236345409</v>
      </c>
      <c r="C975" s="2">
        <v>0.80319059684721661</v>
      </c>
      <c r="D975">
        <v>-6731.1833309289104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>
      <c r="A976" s="2">
        <v>974</v>
      </c>
      <c r="B976">
        <v>22886.605572608809</v>
      </c>
      <c r="C976" s="2">
        <v>0.67729346934340584</v>
      </c>
      <c r="D976">
        <v>-2567.801492306633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>
      <c r="A977" s="2">
        <v>975</v>
      </c>
      <c r="B977">
        <v>16290.491666782109</v>
      </c>
      <c r="C977" s="2">
        <v>0.422750276271739</v>
      </c>
      <c r="D977">
        <v>-3607.9833786299387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>
      <c r="A978" s="2">
        <v>976</v>
      </c>
      <c r="B978">
        <v>34932.68168299659</v>
      </c>
      <c r="C978" s="2">
        <v>0.77723201854817692</v>
      </c>
      <c r="D978">
        <v>-11615.721126551281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>
      <c r="A979" s="2">
        <v>977</v>
      </c>
      <c r="B979">
        <v>34676.216211025014</v>
      </c>
      <c r="C979" s="2">
        <v>0.64697925537222423</v>
      </c>
      <c r="D979">
        <v>-15266.838549858287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>
      <c r="A980" s="2">
        <v>978</v>
      </c>
      <c r="B980">
        <v>29680.38521995968</v>
      </c>
      <c r="C980" s="2">
        <v>0.60386463199845841</v>
      </c>
      <c r="D980">
        <v>-11564.446260005927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>
      <c r="A981" s="2">
        <v>979</v>
      </c>
      <c r="B981">
        <v>40106.968566295705</v>
      </c>
      <c r="C981" s="2">
        <v>1.3067549911125353</v>
      </c>
      <c r="D981">
        <v>-904.31883291964186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>
      <c r="A982" s="2">
        <v>980</v>
      </c>
      <c r="B982">
        <v>39426.358556011095</v>
      </c>
      <c r="C982" s="2">
        <v>0.6027317025542458</v>
      </c>
      <c r="D982">
        <v>-21344.407479383721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>
      <c r="A983" s="2">
        <v>981</v>
      </c>
      <c r="B983">
        <v>36890.111561646132</v>
      </c>
      <c r="C983" s="2">
        <v>0.38657396225227947</v>
      </c>
      <c r="D983">
        <v>-25292.892694077746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>
      <c r="A984" s="2">
        <v>982</v>
      </c>
      <c r="B984">
        <v>36486.27986481112</v>
      </c>
      <c r="C984" s="2">
        <v>0.57539742980977748</v>
      </c>
      <c r="D984">
        <v>-19224.356970517794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>
      <c r="A985" s="2">
        <v>983</v>
      </c>
      <c r="B985">
        <v>29571.156532403453</v>
      </c>
      <c r="C985" s="2">
        <v>0.71077780571100235</v>
      </c>
      <c r="D985">
        <v>-8247.8223610733839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>
      <c r="A986" s="2">
        <v>984</v>
      </c>
      <c r="B986">
        <v>33742.063799323274</v>
      </c>
      <c r="C986" s="2">
        <v>0.55666379935417032</v>
      </c>
      <c r="D986">
        <v>-17042.149818698166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>
      <c r="A987" s="2">
        <v>985</v>
      </c>
      <c r="B987">
        <v>31123.987476621987</v>
      </c>
      <c r="C987" s="2">
        <v>0.51630069165190617</v>
      </c>
      <c r="D987">
        <v>-15634.966727064802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>
      <c r="A988" s="2">
        <v>986</v>
      </c>
      <c r="B988">
        <v>24707.667773155335</v>
      </c>
      <c r="C988" s="2">
        <v>0.36799758661212567</v>
      </c>
      <c r="D988">
        <v>-13667.740174791565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>
      <c r="A989" s="2">
        <v>987</v>
      </c>
      <c r="B989">
        <v>46307.340189320865</v>
      </c>
      <c r="C989" s="2">
        <v>0.83243282244041894</v>
      </c>
      <c r="D989">
        <v>-21334.355516108295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>
      <c r="A990" s="2">
        <v>988</v>
      </c>
      <c r="B990">
        <v>44664.488169625445</v>
      </c>
      <c r="C990" s="2">
        <v>0.4761714783657065</v>
      </c>
      <c r="D990">
        <v>-30379.343818654248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>
      <c r="A991" s="2">
        <v>989</v>
      </c>
      <c r="B991">
        <v>27091.535758742939</v>
      </c>
      <c r="C991" s="2">
        <v>0.67991159567215442</v>
      </c>
      <c r="D991">
        <v>-6694.187888578308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>
      <c r="A992" s="2">
        <v>990</v>
      </c>
      <c r="B992">
        <v>51282.545752567465</v>
      </c>
      <c r="C992" s="2">
        <v>0.7436873287341168</v>
      </c>
      <c r="D992">
        <v>-28971.92589054396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>
      <c r="A993" s="2">
        <v>991</v>
      </c>
      <c r="B993">
        <v>33403.911775949564</v>
      </c>
      <c r="C993" s="2">
        <v>0.93353110322984789</v>
      </c>
      <c r="D993">
        <v>-5397.9786790541257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>
      <c r="A994" s="2">
        <v>992</v>
      </c>
      <c r="B994">
        <v>30972.859151077966</v>
      </c>
      <c r="C994" s="2">
        <v>0.78388278121612553</v>
      </c>
      <c r="D994">
        <v>-7456.3757145942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>
      <c r="A995" s="2">
        <v>993</v>
      </c>
      <c r="B995">
        <v>21317.524774463862</v>
      </c>
      <c r="C995" s="2">
        <v>0.48461157418527856</v>
      </c>
      <c r="D995">
        <v>-6779.1775489055053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>
      <c r="A996" s="2">
        <v>994</v>
      </c>
      <c r="B996">
        <v>36316.01072609437</v>
      </c>
      <c r="C996" s="2">
        <v>0.54177105875243181</v>
      </c>
      <c r="D996">
        <v>-20062.878963521416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>
      <c r="A997" s="2">
        <v>995</v>
      </c>
      <c r="B997">
        <v>21509.426882404878</v>
      </c>
      <c r="C997" s="2">
        <v>0.73426211250571094</v>
      </c>
      <c r="D997">
        <v>518.4364927664501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>
      <c r="A998" s="2">
        <v>996</v>
      </c>
      <c r="B998">
        <v>41922.298063982453</v>
      </c>
      <c r="C998" s="2">
        <v>0.26225393594018032</v>
      </c>
      <c r="D998">
        <v>-34054.679985777046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>
      <c r="A999" s="2">
        <v>997</v>
      </c>
      <c r="B999">
        <v>35110.101448419766</v>
      </c>
      <c r="C999" s="2">
        <v>0.79022496921306984</v>
      </c>
      <c r="D999">
        <v>-11403.352372027672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>
      <c r="A1000" s="2">
        <v>998</v>
      </c>
      <c r="B1000">
        <v>21828.542367861563</v>
      </c>
      <c r="C1000" s="2">
        <v>0.37748737287873202</v>
      </c>
      <c r="D1000">
        <v>-10503.921181499602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>
      <c r="A1001" s="2">
        <v>999</v>
      </c>
      <c r="B1001">
        <v>29582.073134118975</v>
      </c>
      <c r="C1001" s="2">
        <v>0.67058137321629219</v>
      </c>
      <c r="D1001">
        <v>-9464.631937630209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>
      <c r="A1002" s="2">
        <v>1000</v>
      </c>
      <c r="B1002">
        <v>28877.961121375498</v>
      </c>
      <c r="C1002" s="2">
        <v>0.75259057903984572</v>
      </c>
      <c r="D1002">
        <v>-6300.2437501801251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5072-A476-7E4F-A052-B0741DF9A382}">
  <dimension ref="A1:M20"/>
  <sheetViews>
    <sheetView zoomScale="160" zoomScaleNormal="160" workbookViewId="0">
      <selection activeCell="M25" sqref="M25"/>
    </sheetView>
  </sheetViews>
  <sheetFormatPr baseColWidth="10" defaultRowHeight="16"/>
  <cols>
    <col min="1" max="1" width="22.6640625" customWidth="1"/>
    <col min="3" max="3" width="32" customWidth="1"/>
    <col min="4" max="4" width="4.5" customWidth="1"/>
    <col min="5" max="5" width="3.33203125" customWidth="1"/>
    <col min="6" max="6" width="22.33203125" customWidth="1"/>
    <col min="12" max="12" width="12.83203125" customWidth="1"/>
    <col min="13" max="13" width="12.33203125" customWidth="1"/>
  </cols>
  <sheetData>
    <row r="1" spans="1:13">
      <c r="A1" t="s">
        <v>0</v>
      </c>
      <c r="B1" s="8">
        <v>30</v>
      </c>
      <c r="C1" t="s">
        <v>10</v>
      </c>
      <c r="F1" s="2" t="s">
        <v>117</v>
      </c>
      <c r="G1" s="2"/>
      <c r="H1" s="2"/>
      <c r="I1" s="2" t="s">
        <v>118</v>
      </c>
      <c r="J1" s="2">
        <v>0</v>
      </c>
      <c r="K1" s="2"/>
      <c r="L1" s="2"/>
      <c r="M1" s="2"/>
    </row>
    <row r="2" spans="1:13">
      <c r="A2" t="s">
        <v>1</v>
      </c>
      <c r="B2" s="8">
        <v>1</v>
      </c>
      <c r="C2" t="s">
        <v>11</v>
      </c>
      <c r="F2" s="2"/>
      <c r="G2" s="2"/>
      <c r="H2" s="2"/>
      <c r="I2" s="2"/>
      <c r="J2" s="2"/>
      <c r="K2" s="2"/>
      <c r="L2" s="2"/>
      <c r="M2" s="2"/>
    </row>
    <row r="3" spans="1:13">
      <c r="A3" t="s">
        <v>17</v>
      </c>
      <c r="B3" s="8">
        <v>65</v>
      </c>
      <c r="F3" s="2"/>
      <c r="G3" s="2"/>
      <c r="H3" s="2"/>
      <c r="I3" s="2"/>
      <c r="J3" s="2"/>
      <c r="K3" s="2"/>
      <c r="L3" s="2"/>
      <c r="M3" s="2"/>
    </row>
    <row r="4" spans="1:13">
      <c r="A4" t="s">
        <v>18</v>
      </c>
      <c r="B4" s="9">
        <v>3.5000000000000003E-2</v>
      </c>
      <c r="C4" t="s">
        <v>19</v>
      </c>
      <c r="F4" s="2"/>
      <c r="G4" s="2"/>
      <c r="H4" s="2"/>
      <c r="I4" s="2"/>
      <c r="J4" s="2"/>
      <c r="K4" s="2"/>
      <c r="L4" s="2"/>
      <c r="M4" s="2"/>
    </row>
    <row r="5" spans="1:13">
      <c r="A5" t="s">
        <v>20</v>
      </c>
      <c r="B5" s="9">
        <f>(1+$B$4)^(1/12)-1</f>
        <v>2.8708987190766422E-3</v>
      </c>
      <c r="C5" t="s">
        <v>12</v>
      </c>
      <c r="F5" s="2"/>
      <c r="G5" s="2"/>
      <c r="H5" s="2"/>
      <c r="I5" s="2"/>
      <c r="J5" s="2"/>
      <c r="K5" s="2"/>
      <c r="L5" s="2"/>
      <c r="M5" s="2"/>
    </row>
    <row r="6" spans="1:13">
      <c r="A6" t="s">
        <v>2</v>
      </c>
      <c r="B6" s="8">
        <v>3500</v>
      </c>
      <c r="C6" t="s">
        <v>12</v>
      </c>
      <c r="F6" s="2"/>
      <c r="G6" s="2" t="s">
        <v>119</v>
      </c>
      <c r="H6" s="2" t="s">
        <v>120</v>
      </c>
      <c r="I6" s="2" t="s">
        <v>121</v>
      </c>
      <c r="J6" s="2" t="s">
        <v>122</v>
      </c>
      <c r="K6" s="2" t="s">
        <v>123</v>
      </c>
      <c r="L6" s="2" t="s">
        <v>124</v>
      </c>
      <c r="M6" s="2" t="s">
        <v>125</v>
      </c>
    </row>
    <row r="7" spans="1:13">
      <c r="A7" t="s">
        <v>3</v>
      </c>
      <c r="B7" s="10">
        <v>0.7</v>
      </c>
      <c r="F7" s="2" t="s">
        <v>131</v>
      </c>
      <c r="G7" s="19">
        <v>0.78</v>
      </c>
      <c r="H7" s="19">
        <v>0.05</v>
      </c>
      <c r="I7" s="2" t="s">
        <v>126</v>
      </c>
      <c r="J7" s="2">
        <f>pfs_ulty_mu*(pfs_ulty_mu*((1-pfs_ulty_mu)/pfs_ulty_sigma^2)-1)</f>
        <v>52.759199999999993</v>
      </c>
      <c r="K7" s="2">
        <f>(1-pfs_ulty_mu)*(pfs_ulty_mu*((1-pfs_ulty_mu)/pfs_ulty_sigma^2)-1)</f>
        <v>14.880799999999995</v>
      </c>
      <c r="L7" s="2">
        <f ca="1">_xlfn.BETA.INV(RAND(),J7,K7)</f>
        <v>0.84987390194339263</v>
      </c>
      <c r="M7" s="2">
        <f>IF(PSA_Switch=0,pfs_ulty_mu,L7)</f>
        <v>0.78</v>
      </c>
    </row>
    <row r="8" spans="1:13">
      <c r="A8" t="s">
        <v>4</v>
      </c>
      <c r="B8" s="8">
        <v>24</v>
      </c>
      <c r="C8" t="s">
        <v>11</v>
      </c>
      <c r="F8" s="2" t="s">
        <v>127</v>
      </c>
      <c r="G8" s="19">
        <v>0.5</v>
      </c>
      <c r="H8" s="19">
        <v>0.05</v>
      </c>
      <c r="I8" s="2" t="s">
        <v>126</v>
      </c>
      <c r="J8" s="2">
        <f>pd_ulty_mu*(pd_ulty_mu*((1-pd_ulty_mu)/pd_ulty_sigma^2)-1)</f>
        <v>49.499999999999993</v>
      </c>
      <c r="K8" s="2">
        <f>(1-pd_ulty_mu)*(pd_ulty_mu*((1-pd_ulty_mu)/pd_ulty_sigma^2)-1)</f>
        <v>49.499999999999993</v>
      </c>
      <c r="L8" s="2">
        <f ca="1">_xlfn.BETA.INV(RAND(),J8,K8)</f>
        <v>0.42924732655192188</v>
      </c>
      <c r="M8" s="2">
        <f>IF(PSA_Switch=0,pd_ulty_mu,L8)</f>
        <v>0.5</v>
      </c>
    </row>
    <row r="9" spans="1:13">
      <c r="A9" t="s">
        <v>44</v>
      </c>
      <c r="B9" s="8">
        <v>2200</v>
      </c>
      <c r="C9" t="s">
        <v>12</v>
      </c>
      <c r="F9" s="2" t="s">
        <v>159</v>
      </c>
      <c r="G9" s="19">
        <f>pd_mAb_price*B13+pd_chm_price*B14</f>
        <v>850</v>
      </c>
      <c r="H9" s="19">
        <v>240</v>
      </c>
      <c r="I9" s="2" t="s">
        <v>128</v>
      </c>
      <c r="J9" s="2">
        <f>Subsq_PD_cst_mu^2/Subsq_PD_cst_sigma^2</f>
        <v>12.543402777777779</v>
      </c>
      <c r="K9" s="2">
        <f>Subsq_PD_cst_sigma^2/Subsq_PD_cst_mu</f>
        <v>67.764705882352942</v>
      </c>
      <c r="L9" s="2">
        <f ca="1">_xlfn.GAMMA.INV(RAND(),J9,K9)</f>
        <v>1416.9731627562494</v>
      </c>
      <c r="M9" s="2">
        <f>IF(PSA_Switch=0,Subsq_PD_cst_mu,L9)</f>
        <v>850</v>
      </c>
    </row>
    <row r="10" spans="1:13">
      <c r="B10" s="18"/>
      <c r="F10" s="2" t="s">
        <v>132</v>
      </c>
      <c r="G10" s="19">
        <f>Mntr_Adm_cst</f>
        <v>200</v>
      </c>
      <c r="H10" s="19">
        <v>40</v>
      </c>
      <c r="I10" s="2" t="s">
        <v>128</v>
      </c>
      <c r="J10" s="2">
        <f>Mntr_Adm_cst_mu^2/Mntr_Adm_cst_sigma^2</f>
        <v>25</v>
      </c>
      <c r="K10" s="2">
        <f>Mntr_Adm_cst_sigma^2/Mntr_Adm_cst_mu</f>
        <v>8</v>
      </c>
      <c r="L10" s="2">
        <f ca="1">_xlfn.GAMMA.INV(RAND(),J10,K10)</f>
        <v>133.17276269694864</v>
      </c>
      <c r="M10" s="2">
        <f>IF(PSA_Switch=0,Mntr_Adm_cst_mu,L10)</f>
        <v>200</v>
      </c>
    </row>
    <row r="11" spans="1:13">
      <c r="A11" t="s">
        <v>5</v>
      </c>
      <c r="B11" s="8">
        <v>4000</v>
      </c>
      <c r="C11" t="s">
        <v>13</v>
      </c>
      <c r="F11" s="2" t="s">
        <v>137</v>
      </c>
      <c r="G11" s="19">
        <v>1</v>
      </c>
      <c r="H11" s="19"/>
      <c r="I11" s="2" t="s">
        <v>129</v>
      </c>
      <c r="K11" s="2"/>
      <c r="L11" s="2">
        <f ca="1">_xlfn.LOGNORM.INV(RAND(), LN(1), 0.1)</f>
        <v>1.0502376708772496</v>
      </c>
      <c r="M11" s="2">
        <f>IF(PSA_Switch=0,1,L11)</f>
        <v>1</v>
      </c>
    </row>
    <row r="12" spans="1:13">
      <c r="A12" t="s">
        <v>6</v>
      </c>
      <c r="B12" s="8">
        <v>500</v>
      </c>
      <c r="C12" t="s">
        <v>13</v>
      </c>
      <c r="F12" s="2" t="s">
        <v>136</v>
      </c>
      <c r="G12" s="19">
        <v>1</v>
      </c>
      <c r="H12" s="19"/>
      <c r="I12" s="2" t="s">
        <v>129</v>
      </c>
      <c r="K12" s="2"/>
      <c r="L12" s="2">
        <f ca="1">_xlfn.LOGNORM.INV(RAND(), LN(1), 0.1)</f>
        <v>0.95047459187757988</v>
      </c>
      <c r="M12" s="2">
        <f>IF(PSA_Switch=0,1,L12)</f>
        <v>1</v>
      </c>
    </row>
    <row r="13" spans="1:13">
      <c r="A13" t="s">
        <v>15</v>
      </c>
      <c r="B13" s="10">
        <v>0.1</v>
      </c>
      <c r="C13" t="s">
        <v>14</v>
      </c>
      <c r="F13" s="2" t="s">
        <v>138</v>
      </c>
      <c r="G13" s="19">
        <v>1</v>
      </c>
      <c r="I13" s="2" t="s">
        <v>129</v>
      </c>
      <c r="L13">
        <f ca="1">_xlfn.LOGNORM.INV(RAND(), LN(1), 0.1)</f>
        <v>0.96341814519441882</v>
      </c>
      <c r="M13" s="2">
        <f>IF(PSA_Switch=0,1,L13)</f>
        <v>1</v>
      </c>
    </row>
    <row r="14" spans="1:13">
      <c r="A14" t="s">
        <v>16</v>
      </c>
      <c r="B14" s="10">
        <v>0.9</v>
      </c>
      <c r="C14" t="s">
        <v>14</v>
      </c>
      <c r="F14" s="2" t="s">
        <v>139</v>
      </c>
      <c r="G14" s="2">
        <v>1</v>
      </c>
      <c r="H14" s="2"/>
      <c r="I14" s="2" t="s">
        <v>129</v>
      </c>
      <c r="K14" s="2"/>
      <c r="L14" s="2">
        <f ca="1">_xlfn.LOGNORM.INV(RAND(), LN(1), 0.1)</f>
        <v>1.0493480450328481</v>
      </c>
      <c r="M14" s="2">
        <f>IF(PSA_Switch=0,1,L14)</f>
        <v>1</v>
      </c>
    </row>
    <row r="15" spans="1:13">
      <c r="A15" s="2" t="s">
        <v>132</v>
      </c>
      <c r="B15" s="20">
        <v>200</v>
      </c>
      <c r="F15" s="2" t="s">
        <v>130</v>
      </c>
      <c r="G15" s="2"/>
      <c r="H15" s="2"/>
      <c r="I15" s="2"/>
      <c r="J15" s="2"/>
      <c r="K15" s="2"/>
      <c r="L15" s="2"/>
      <c r="M15" s="2"/>
    </row>
    <row r="16" spans="1:13">
      <c r="A16" t="s">
        <v>7</v>
      </c>
      <c r="B16" s="8">
        <v>0.78</v>
      </c>
    </row>
    <row r="17" spans="1:4">
      <c r="A17" t="s">
        <v>8</v>
      </c>
      <c r="B17" s="8">
        <v>0.6</v>
      </c>
    </row>
    <row r="18" spans="1:4">
      <c r="A18" t="s">
        <v>9</v>
      </c>
      <c r="B18" s="8">
        <v>-0.1</v>
      </c>
      <c r="D18" s="1"/>
    </row>
    <row r="19" spans="1:4">
      <c r="D19" s="1"/>
    </row>
    <row r="20" spans="1:4">
      <c r="D20" s="1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9A54-34C7-944E-9725-EF3CCFDA8EBE}">
  <dimension ref="A1:E362"/>
  <sheetViews>
    <sheetView zoomScale="160" zoomScaleNormal="160" workbookViewId="0">
      <selection activeCell="G18" sqref="G18"/>
    </sheetView>
  </sheetViews>
  <sheetFormatPr baseColWidth="10" defaultRowHeight="16"/>
  <cols>
    <col min="1" max="1" width="11.1640625" bestFit="1" customWidth="1"/>
    <col min="2" max="5" width="14.6640625" bestFit="1" customWidth="1"/>
  </cols>
  <sheetData>
    <row r="1" spans="1:5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1</v>
      </c>
      <c r="B3">
        <v>0.96078943915232295</v>
      </c>
      <c r="C3">
        <v>0.98216103235830099</v>
      </c>
      <c r="D3">
        <v>0.97530991202833295</v>
      </c>
      <c r="E3">
        <v>0.990049833749168</v>
      </c>
    </row>
    <row r="4" spans="1:5">
      <c r="A4">
        <v>2</v>
      </c>
      <c r="B4">
        <v>0.91220013345922502</v>
      </c>
      <c r="C4">
        <v>0.962151030140172</v>
      </c>
      <c r="D4">
        <v>0.94782189094663405</v>
      </c>
      <c r="E4">
        <v>0.97950758441610297</v>
      </c>
    </row>
    <row r="5" spans="1:5">
      <c r="A5">
        <v>3</v>
      </c>
      <c r="B5">
        <v>0.86114901910465402</v>
      </c>
      <c r="C5">
        <v>0.94150967818684705</v>
      </c>
      <c r="D5">
        <v>0.91969863058697998</v>
      </c>
      <c r="E5">
        <v>0.96880297178573904</v>
      </c>
    </row>
    <row r="6" spans="1:5">
      <c r="A6">
        <v>4</v>
      </c>
      <c r="B6">
        <v>0.80967587499682803</v>
      </c>
      <c r="C6">
        <v>0.92062151102700895</v>
      </c>
      <c r="D6">
        <v>0.89148217568697996</v>
      </c>
      <c r="E6">
        <v>0.958035027524755</v>
      </c>
    </row>
    <row r="7" spans="1:5">
      <c r="A7">
        <v>5</v>
      </c>
      <c r="B7">
        <v>0.75885395914617004</v>
      </c>
      <c r="C7">
        <v>0.89968038646691495</v>
      </c>
      <c r="D7">
        <v>0.86344302254525995</v>
      </c>
      <c r="E7">
        <v>0.94725218791009602</v>
      </c>
    </row>
    <row r="8" spans="1:5">
      <c r="A8">
        <v>6</v>
      </c>
      <c r="B8">
        <v>0.70933130302807301</v>
      </c>
      <c r="C8">
        <v>0.87880436676430496</v>
      </c>
      <c r="D8">
        <v>0.83574254000696901</v>
      </c>
      <c r="E8">
        <v>0.93648346552148698</v>
      </c>
    </row>
    <row r="9" spans="1:5">
      <c r="A9">
        <v>7</v>
      </c>
      <c r="B9">
        <v>0.661519058209035</v>
      </c>
      <c r="C9">
        <v>0.85807259840425698</v>
      </c>
      <c r="D9">
        <v>0.80848556214461897</v>
      </c>
      <c r="E9">
        <v>0.92574818285661198</v>
      </c>
    </row>
    <row r="10" spans="1:5">
      <c r="A10">
        <v>8</v>
      </c>
      <c r="B10">
        <v>0.61567915631058401</v>
      </c>
      <c r="C10">
        <v>0.83754122256451902</v>
      </c>
      <c r="D10">
        <v>0.78174327695952395</v>
      </c>
      <c r="E10">
        <v>0.91506007715837701</v>
      </c>
    </row>
    <row r="11" spans="1:5">
      <c r="A11">
        <v>9</v>
      </c>
      <c r="B11">
        <v>0.57197247659009198</v>
      </c>
      <c r="C11">
        <v>0.81725148834445005</v>
      </c>
      <c r="D11">
        <v>0.75556500288534501</v>
      </c>
      <c r="E11">
        <v>0.90442935089282905</v>
      </c>
    </row>
    <row r="12" spans="1:5">
      <c r="A12">
        <v>10</v>
      </c>
      <c r="B12">
        <v>0.53048835243997605</v>
      </c>
      <c r="C12">
        <v>0.79723437323120205</v>
      </c>
      <c r="D12">
        <v>0.72998495623555804</v>
      </c>
      <c r="E12">
        <v>0.89386381696374895</v>
      </c>
    </row>
    <row r="13" spans="1:5">
      <c r="A13">
        <v>11</v>
      </c>
      <c r="B13">
        <v>0.49126406894795099</v>
      </c>
      <c r="C13">
        <v>0.77751343151959196</v>
      </c>
      <c r="D13">
        <v>0.705026460547447</v>
      </c>
      <c r="E13">
        <v>0.88336959156527195</v>
      </c>
    </row>
    <row r="14" spans="1:5">
      <c r="A14">
        <v>12</v>
      </c>
      <c r="B14">
        <v>0.454298468125021</v>
      </c>
      <c r="C14">
        <v>0.75810665876930405</v>
      </c>
      <c r="D14">
        <v>0.68070472566192297</v>
      </c>
      <c r="E14">
        <v>0.87295153945783899</v>
      </c>
    </row>
    <row r="15" spans="1:5">
      <c r="A15">
        <v>13</v>
      </c>
      <c r="B15">
        <v>0.41956182789039098</v>
      </c>
      <c r="C15">
        <v>0.739027770938122</v>
      </c>
      <c r="D15">
        <v>0.65702876983454095</v>
      </c>
      <c r="E15">
        <v>0.86261357402108596</v>
      </c>
    </row>
    <row r="16" spans="1:5">
      <c r="A16">
        <v>14</v>
      </c>
      <c r="B16">
        <v>0.38700324780733097</v>
      </c>
      <c r="C16">
        <v>0.72028711582016103</v>
      </c>
      <c r="D16">
        <v>0.63400279945460802</v>
      </c>
      <c r="E16">
        <v>0.85235886732740596</v>
      </c>
    </row>
    <row r="17" spans="1:5">
      <c r="A17">
        <v>15</v>
      </c>
      <c r="B17">
        <v>0.356556289581549</v>
      </c>
      <c r="C17">
        <v>0.70189234303223302</v>
      </c>
      <c r="D17">
        <v>0.61162722982547602</v>
      </c>
      <c r="E17">
        <v>0.84219000193070104</v>
      </c>
    </row>
    <row r="18" spans="1:5">
      <c r="A18">
        <v>16</v>
      </c>
      <c r="B18">
        <v>0.32814335077814699</v>
      </c>
      <c r="C18">
        <v>0.683848909500823</v>
      </c>
      <c r="D18">
        <v>0.589899459453612</v>
      </c>
      <c r="E18">
        <v>0.83210908348302703</v>
      </c>
    </row>
    <row r="19" spans="1:5">
      <c r="A19">
        <v>17</v>
      </c>
      <c r="B19">
        <v>0.30167909179555502</v>
      </c>
      <c r="C19">
        <v>0.66616046933565698</v>
      </c>
      <c r="D19">
        <v>0.56881446969697202</v>
      </c>
      <c r="E19">
        <v>0.82211782619294504</v>
      </c>
    </row>
    <row r="20" spans="1:5">
      <c r="A20">
        <v>18</v>
      </c>
      <c r="B20">
        <v>0.27707313850138898</v>
      </c>
      <c r="C20">
        <v>0.64882918025313796</v>
      </c>
      <c r="D20">
        <v>0.54836529733195505</v>
      </c>
      <c r="E20">
        <v>0.81221761894718003</v>
      </c>
    </row>
    <row r="21" spans="1:5">
      <c r="A21">
        <v>19</v>
      </c>
      <c r="B21">
        <v>0.254232220230804</v>
      </c>
      <c r="C21">
        <v>0.63185594835767001</v>
      </c>
      <c r="D21">
        <v>0.52854341249008496</v>
      </c>
      <c r="E21">
        <v>0.80240957734380103</v>
      </c>
    </row>
    <row r="22" spans="1:5">
      <c r="A22">
        <v>20</v>
      </c>
      <c r="B22">
        <v>0.23306186108852001</v>
      </c>
      <c r="C22">
        <v>0.61524062645986299</v>
      </c>
      <c r="D22">
        <v>0.50933902470010906</v>
      </c>
      <c r="E22">
        <v>0.79269458525183001</v>
      </c>
    </row>
    <row r="23" spans="1:5">
      <c r="A23">
        <v>21</v>
      </c>
      <c r="B23">
        <v>0.213467713773517</v>
      </c>
      <c r="C23">
        <v>0.598982176742483</v>
      </c>
      <c r="D23">
        <v>0.490741333338922</v>
      </c>
      <c r="E23">
        <v>0.78307332844499999</v>
      </c>
    </row>
    <row r="24" spans="1:5">
      <c r="A24">
        <v>22</v>
      </c>
      <c r="B24">
        <v>0.19535660481192199</v>
      </c>
      <c r="C24">
        <v>0.58307880563242098</v>
      </c>
      <c r="D24">
        <v>0.47273873442562298</v>
      </c>
      <c r="E24">
        <v>0.77354632214215802</v>
      </c>
    </row>
    <row r="25" spans="1:5">
      <c r="A25">
        <v>23</v>
      </c>
      <c r="B25">
        <v>0.17863734531138101</v>
      </c>
      <c r="C25">
        <v>0.56752807669553595</v>
      </c>
      <c r="D25">
        <v>0.45531899265687598</v>
      </c>
      <c r="E25">
        <v>0.76411393379635895</v>
      </c>
    </row>
    <row r="26" spans="1:5">
      <c r="A26">
        <v>24</v>
      </c>
      <c r="B26">
        <v>0.163221350366239</v>
      </c>
      <c r="C26">
        <v>0.55232700593109196</v>
      </c>
      <c r="D26">
        <v>0.43846938542844599</v>
      </c>
      <c r="E26">
        <v>0.75477640213164698</v>
      </c>
    </row>
    <row r="27" spans="1:5">
      <c r="A27">
        <v>25</v>
      </c>
      <c r="B27">
        <v>0.14902310190454701</v>
      </c>
      <c r="C27">
        <v>0.53747214280789701</v>
      </c>
      <c r="D27">
        <v>0.42217682403242301</v>
      </c>
      <c r="E27">
        <v>0.74553385318209398</v>
      </c>
    </row>
    <row r="28" spans="1:5">
      <c r="A28">
        <v>26</v>
      </c>
      <c r="B28">
        <v>0.13596048332015501</v>
      </c>
      <c r="C28">
        <v>0.52295963962866099</v>
      </c>
      <c r="D28">
        <v>0.40642795607716398</v>
      </c>
      <c r="E28">
        <v>0.73638631391069997</v>
      </c>
    </row>
    <row r="29" spans="1:5">
      <c r="A29">
        <v>27</v>
      </c>
      <c r="B29">
        <v>0.12395500916547</v>
      </c>
      <c r="C29">
        <v>0.50878531124898596</v>
      </c>
      <c r="D29">
        <v>0.39120925232515402</v>
      </c>
      <c r="E29">
        <v>0.727333723855624</v>
      </c>
    </row>
    <row r="30" spans="1:5">
      <c r="A30">
        <v>28</v>
      </c>
      <c r="B30">
        <v>0.112931969140151</v>
      </c>
      <c r="C30">
        <v>0.494944686756491</v>
      </c>
      <c r="D30">
        <v>0.37650708049986598</v>
      </c>
      <c r="E30">
        <v>0.71837594515431202</v>
      </c>
    </row>
    <row r="31" spans="1:5">
      <c r="A31">
        <v>29</v>
      </c>
      <c r="B31">
        <v>0.10282050234967299</v>
      </c>
      <c r="C31">
        <v>0.481433054395282</v>
      </c>
      <c r="D31">
        <v>0.36230776811947901</v>
      </c>
      <c r="E31">
        <v>0.70951277122294898</v>
      </c>
    </row>
    <row r="32" spans="1:5">
      <c r="A32">
        <v>30</v>
      </c>
      <c r="B32">
        <v>9.3553615146846902E-2</v>
      </c>
      <c r="C32">
        <v>0.46824550077442301</v>
      </c>
      <c r="D32">
        <v>0.34859765603315201</v>
      </c>
      <c r="E32">
        <v>0.70074393431284199</v>
      </c>
    </row>
    <row r="33" spans="1:5">
      <c r="A33">
        <v>31</v>
      </c>
      <c r="B33">
        <v>8.5068153678656305E-2</v>
      </c>
      <c r="C33">
        <v>0.45537694520723698</v>
      </c>
      <c r="D33">
        <v>0.335363144036191</v>
      </c>
      <c r="E33">
        <v>0.69206911212233702</v>
      </c>
    </row>
    <row r="34" spans="1:5">
      <c r="A34">
        <v>32</v>
      </c>
      <c r="B34">
        <v>7.7304740443299796E-2</v>
      </c>
      <c r="C34">
        <v>0.44282216987752498</v>
      </c>
      <c r="D34">
        <v>0.322590729703636</v>
      </c>
      <c r="E34">
        <v>0.68348793360930904</v>
      </c>
    </row>
    <row r="35" spans="1:5">
      <c r="A35">
        <v>33</v>
      </c>
      <c r="B35">
        <v>7.02076826448612E-2</v>
      </c>
      <c r="C35">
        <v>0.43057584640928798</v>
      </c>
      <c r="D35">
        <v>0.31026704139262901</v>
      </c>
      <c r="E35">
        <v>0.67499998412297102</v>
      </c>
    </row>
    <row r="36" spans="1:5">
      <c r="A36">
        <v>34</v>
      </c>
      <c r="B36">
        <v>6.3724858859484604E-2</v>
      </c>
      <c r="C36">
        <v>0.41863255932086102</v>
      </c>
      <c r="D36">
        <v>0.29837886621151699</v>
      </c>
      <c r="E36">
        <v>0.666604809952836</v>
      </c>
    </row>
    <row r="37" spans="1:5">
      <c r="A37">
        <v>35</v>
      </c>
      <c r="B37">
        <v>5.7807589453683597E-2</v>
      </c>
      <c r="C37">
        <v>0.40698682676735898</v>
      </c>
      <c r="D37">
        <v>0.28691317362991398</v>
      </c>
      <c r="E37">
        <v>0.65830192237600205</v>
      </c>
    </row>
    <row r="38" spans="1:5">
      <c r="A38">
        <v>36</v>
      </c>
      <c r="B38">
        <v>5.2410495288055303E-2</v>
      </c>
      <c r="C38">
        <v>0.39563311891261899</v>
      </c>
      <c r="D38">
        <v>0.275857135302576</v>
      </c>
      <c r="E38">
        <v>0.650090801270505</v>
      </c>
    </row>
    <row r="39" spans="1:5">
      <c r="A39">
        <v>37</v>
      </c>
      <c r="B39">
        <v>4.7491348470762897E-2</v>
      </c>
      <c r="C39">
        <v>0.38456587422064697</v>
      </c>
      <c r="D39">
        <v>0.26519814159648702</v>
      </c>
      <c r="E39">
        <v>0.64197089835161303</v>
      </c>
    </row>
    <row r="40" spans="1:5">
      <c r="A40">
        <v>38</v>
      </c>
      <c r="B40">
        <v>4.3010918272547202E-2</v>
      </c>
      <c r="C40">
        <v>0.37377951391431702</v>
      </c>
      <c r="D40">
        <v>0.25492381524121899</v>
      </c>
      <c r="E40">
        <v>0.63394164007905396</v>
      </c>
    </row>
    <row r="41" spans="1:5">
      <c r="A41">
        <v>39</v>
      </c>
      <c r="B41">
        <v>3.8932814760657901E-2</v>
      </c>
      <c r="C41">
        <v>0.36326845481414499</v>
      </c>
      <c r="D41">
        <v>0.24502202246476801</v>
      </c>
      <c r="E41">
        <v>0.62600243027590097</v>
      </c>
    </row>
    <row r="42" spans="1:5">
      <c r="A42">
        <v>40</v>
      </c>
      <c r="B42">
        <v>3.5223332238072003E-2</v>
      </c>
      <c r="C42">
        <v>0.353027120740737</v>
      </c>
      <c r="D42">
        <v>0.23548088192844799</v>
      </c>
      <c r="E42">
        <v>0.61815265249381102</v>
      </c>
    </row>
    <row r="43" spans="1:5">
      <c r="A43">
        <v>41</v>
      </c>
      <c r="B43">
        <v>3.1851294174337602E-2</v>
      </c>
      <c r="C43">
        <v>0.34304995264010801</v>
      </c>
      <c r="D43">
        <v>0.22628877173336601</v>
      </c>
      <c r="E43">
        <v>0.61039167215434897</v>
      </c>
    </row>
    <row r="44" spans="1:5">
      <c r="A44">
        <v>42</v>
      </c>
      <c r="B44">
        <v>2.8787900974990101E-2</v>
      </c>
      <c r="C44">
        <v>0.33333141757041002</v>
      </c>
      <c r="D44">
        <v>0.217434334736122</v>
      </c>
      <c r="E44">
        <v>0.60271883849194796</v>
      </c>
    </row>
    <row r="45" spans="1:5">
      <c r="A45">
        <v>43</v>
      </c>
      <c r="B45">
        <v>2.6006581649027301E-2</v>
      </c>
      <c r="C45">
        <v>0.32386601667120202</v>
      </c>
      <c r="D45">
        <v>0.20890648238163501</v>
      </c>
      <c r="E45">
        <v>0.59513348632057705</v>
      </c>
    </row>
    <row r="46" spans="1:5">
      <c r="A46">
        <v>44</v>
      </c>
      <c r="B46">
        <v>2.3482850190998501E-2</v>
      </c>
      <c r="C46">
        <v>0.31464829222146201</v>
      </c>
      <c r="D46">
        <v>0.20069439723547999</v>
      </c>
      <c r="E46">
        <v>0.58763493764324504</v>
      </c>
    </row>
    <row r="47" spans="1:5">
      <c r="A47">
        <v>45</v>
      </c>
      <c r="B47">
        <v>2.11941672895757E-2</v>
      </c>
      <c r="C47">
        <v>0.30567283387989702</v>
      </c>
      <c r="D47">
        <v>0.19278753437618801</v>
      </c>
      <c r="E47">
        <v>0.58022250312099699</v>
      </c>
    </row>
    <row r="48" spans="1:5">
      <c r="A48">
        <v>46</v>
      </c>
      <c r="B48">
        <v>1.9119807802641699E-2</v>
      </c>
      <c r="C48">
        <v>0.296934284190146</v>
      </c>
      <c r="D48">
        <v>0.185175621788946</v>
      </c>
      <c r="E48">
        <v>0.572895483415926</v>
      </c>
    </row>
    <row r="49" spans="1:5">
      <c r="A49">
        <v>47</v>
      </c>
      <c r="B49">
        <v>1.7240734295328099E-2</v>
      </c>
      <c r="C49">
        <v>0.288427343424078</v>
      </c>
      <c r="D49">
        <v>0.17784865988569201</v>
      </c>
      <c r="E49">
        <v>0.56565317042093699</v>
      </c>
    </row>
    <row r="50" spans="1:5">
      <c r="A50">
        <v>48</v>
      </c>
      <c r="B50">
        <v>1.5539476818086701E-2</v>
      </c>
      <c r="C50">
        <v>0.28014677382823</v>
      </c>
      <c r="D50">
        <v>0.17079692026226201</v>
      </c>
      <c r="E50">
        <v>0.558494848387457</v>
      </c>
    </row>
    <row r="51" spans="1:5">
      <c r="A51">
        <v>49</v>
      </c>
      <c r="B51">
        <v>1.4000019003341699E-2</v>
      </c>
      <c r="C51">
        <v>0.27208740333135201</v>
      </c>
      <c r="D51">
        <v>0.16401094379068201</v>
      </c>
      <c r="E51">
        <v>0.55141979496095805</v>
      </c>
    </row>
    <row r="52" spans="1:5">
      <c r="A52">
        <v>50</v>
      </c>
      <c r="B52">
        <v>1.26076904785783E-2</v>
      </c>
      <c r="C52">
        <v>0.26424412876484799</v>
      </c>
      <c r="D52">
        <v>0.15748153813375901</v>
      </c>
      <c r="E52">
        <v>0.54442728213300795</v>
      </c>
    </row>
    <row r="53" spans="1:5">
      <c r="A53">
        <v>51</v>
      </c>
      <c r="B53">
        <v>1.13490655283058E-2</v>
      </c>
      <c r="C53">
        <v>0.256611918642493</v>
      </c>
      <c r="D53">
        <v>0.15119977475943699</v>
      </c>
      <c r="E53">
        <v>0.53751657711759104</v>
      </c>
    </row>
    <row r="54" spans="1:5">
      <c r="A54">
        <v>52</v>
      </c>
      <c r="B54">
        <v>1.02118678849585E-2</v>
      </c>
      <c r="C54">
        <v>0.249185815541068</v>
      </c>
      <c r="D54">
        <v>0.145156985523888</v>
      </c>
      <c r="E54">
        <v>0.53068694315857301</v>
      </c>
    </row>
    <row r="55" spans="1:5">
      <c r="A55">
        <v>53</v>
      </c>
      <c r="B55">
        <v>9.1848814875333008E-3</v>
      </c>
      <c r="C55">
        <v>0.241960938119367</v>
      </c>
      <c r="D55">
        <v>0.139344758884797</v>
      </c>
      <c r="E55">
        <v>0.52393764027442902</v>
      </c>
    </row>
    <row r="56" spans="1:5">
      <c r="A56">
        <v>54</v>
      </c>
      <c r="B56">
        <v>8.2578670149385108E-3</v>
      </c>
      <c r="C56">
        <v>0.234932482809349</v>
      </c>
      <c r="D56">
        <v>0.13375493579960601</v>
      </c>
      <c r="E56">
        <v>0.51726792594573001</v>
      </c>
    </row>
    <row r="57" spans="1:5">
      <c r="A57">
        <v>55</v>
      </c>
      <c r="B57">
        <v>7.4214839771896404E-3</v>
      </c>
      <c r="C57">
        <v>0.22809572520992299</v>
      </c>
      <c r="D57">
        <v>0.128379605357617</v>
      </c>
      <c r="E57">
        <v>0.51067705575026801</v>
      </c>
    </row>
    <row r="58" spans="1:5">
      <c r="A58">
        <v>56</v>
      </c>
      <c r="B58">
        <v>6.6672181304738903E-3</v>
      </c>
      <c r="C58">
        <v>0.22144602121097701</v>
      </c>
      <c r="D58">
        <v>0.123211100189541</v>
      </c>
      <c r="E58">
        <v>0.50416428395024004</v>
      </c>
    </row>
    <row r="59" spans="1:5">
      <c r="A59">
        <v>57</v>
      </c>
      <c r="B59">
        <v>5.9873139706361498E-3</v>
      </c>
      <c r="C59">
        <v>0.21497880787263099</v>
      </c>
      <c r="D59">
        <v>0.118241991693427</v>
      </c>
      <c r="E59">
        <v>0.49772886403543998</v>
      </c>
    </row>
    <row r="60" spans="1:5">
      <c r="A60">
        <v>58</v>
      </c>
      <c r="B60">
        <v>5.3747120528672802E-3</v>
      </c>
      <c r="C60">
        <v>0.208689604082434</v>
      </c>
      <c r="D60">
        <v>0.113465085111706</v>
      </c>
      <c r="E60">
        <v>0.491370049226035</v>
      </c>
    </row>
    <row r="61" spans="1:5">
      <c r="A61">
        <v>59</v>
      </c>
      <c r="B61">
        <v>4.82299088249375E-3</v>
      </c>
      <c r="C61">
        <v>0.20257401101113401</v>
      </c>
      <c r="D61">
        <v>0.10887341449033799</v>
      </c>
      <c r="E61">
        <v>0.485087092938151</v>
      </c>
    </row>
    <row r="62" spans="1:5">
      <c r="A62">
        <v>60</v>
      </c>
      <c r="B62">
        <v>4.32631312207548E-3</v>
      </c>
      <c r="C62">
        <v>0.196627712385783</v>
      </c>
      <c r="D62">
        <v>0.10446023754769999</v>
      </c>
      <c r="E62">
        <v>0.47887924921517699</v>
      </c>
    </row>
    <row r="63" spans="1:5">
      <c r="A63">
        <v>61</v>
      </c>
      <c r="B63">
        <v>3.8793758629162602E-3</v>
      </c>
      <c r="C63">
        <v>0.19084647459731399</v>
      </c>
      <c r="D63">
        <v>0.100099386406847</v>
      </c>
      <c r="E63">
        <v>0.472607229882748</v>
      </c>
    </row>
    <row r="64" spans="1:5">
      <c r="A64">
        <v>62</v>
      </c>
      <c r="B64">
        <v>3.4773647140642302E-3</v>
      </c>
      <c r="C64">
        <v>0.18522614665819001</v>
      </c>
      <c r="D64">
        <v>9.5798925977799501E-2</v>
      </c>
      <c r="E64">
        <v>0.46627537725041501</v>
      </c>
    </row>
    <row r="65" spans="1:5">
      <c r="A65">
        <v>63</v>
      </c>
      <c r="B65">
        <v>3.1159114684879202E-3</v>
      </c>
      <c r="C65">
        <v>0.17976266002438099</v>
      </c>
      <c r="D65">
        <v>9.1566433925200794E-2</v>
      </c>
      <c r="E65">
        <v>0.45988804663245197</v>
      </c>
    </row>
    <row r="66" spans="1:5">
      <c r="A66">
        <v>64</v>
      </c>
      <c r="B66">
        <v>2.7910551139833499E-3</v>
      </c>
      <c r="C66">
        <v>0.174452028294731</v>
      </c>
      <c r="D66">
        <v>8.74089800567939E-2</v>
      </c>
      <c r="E66">
        <v>0.45344960067885998</v>
      </c>
    </row>
    <row r="67" spans="1:5">
      <c r="A67">
        <v>65</v>
      </c>
      <c r="B67">
        <v>2.4992059651810102E-3</v>
      </c>
      <c r="C67">
        <v>0.16929034679961</v>
      </c>
      <c r="D67">
        <v>8.3333109518401394E-2</v>
      </c>
      <c r="E67">
        <v>0.44696440376065899</v>
      </c>
    </row>
    <row r="68" spans="1:5">
      <c r="A68">
        <v>66</v>
      </c>
      <c r="B68">
        <v>2.2371127025116498E-3</v>
      </c>
      <c r="C68">
        <v>0.164273792089808</v>
      </c>
      <c r="D68">
        <v>7.9344829797798902E-2</v>
      </c>
      <c r="E68">
        <v>0.44043681641878901</v>
      </c>
    </row>
    <row r="69" spans="1:5">
      <c r="A69">
        <v>67</v>
      </c>
      <c r="B69">
        <v>2.00183211393027E-3</v>
      </c>
      <c r="C69">
        <v>0.15939862133565799</v>
      </c>
      <c r="D69">
        <v>7.5449601506530697E-2</v>
      </c>
      <c r="E69">
        <v>0.43387118988572498</v>
      </c>
    </row>
    <row r="70" spans="1:5">
      <c r="A70">
        <v>68</v>
      </c>
      <c r="B70">
        <v>1.7907013454026401E-3</v>
      </c>
      <c r="C70">
        <v>0.15466117164558099</v>
      </c>
      <c r="D70">
        <v>7.1652332876665295E-2</v>
      </c>
      <c r="E70">
        <v>0.42727186068876799</v>
      </c>
    </row>
    <row r="71" spans="1:5">
      <c r="A71">
        <v>69</v>
      </c>
      <c r="B71">
        <v>1.6013124764711899E-3</v>
      </c>
      <c r="C71">
        <v>0.15005785931247301</v>
      </c>
      <c r="D71">
        <v>6.7957377879091799E-2</v>
      </c>
      <c r="E71">
        <v>0.42064314534372699</v>
      </c>
    </row>
    <row r="72" spans="1:5">
      <c r="A72">
        <v>70</v>
      </c>
      <c r="B72">
        <v>1.4314892475108601E-3</v>
      </c>
      <c r="C72">
        <v>0.14558517899566301</v>
      </c>
      <c r="D72">
        <v>6.4368537841496501E-2</v>
      </c>
      <c r="E72">
        <v>0.41398933514747099</v>
      </c>
    </row>
    <row r="73" spans="1:5">
      <c r="A73">
        <v>71</v>
      </c>
      <c r="B73">
        <v>1.2792657754563E-3</v>
      </c>
      <c r="C73">
        <v>0.14123970284554299</v>
      </c>
      <c r="D73">
        <v>6.0889066417910399E-2</v>
      </c>
      <c r="E73">
        <v>0.40731469107756402</v>
      </c>
    </row>
    <row r="74" spans="1:5">
      <c r="A74">
        <v>72</v>
      </c>
      <c r="B74">
        <v>1.14286710474684E-3</v>
      </c>
      <c r="C74">
        <v>0.13701807957739501</v>
      </c>
      <c r="D74">
        <v>5.7521677737900297E-2</v>
      </c>
      <c r="E74">
        <v>0.40062343880690998</v>
      </c>
    </row>
    <row r="75" spans="1:5">
      <c r="A75">
        <v>73</v>
      </c>
      <c r="B75">
        <v>1.0206914499298299E-3</v>
      </c>
      <c r="C75">
        <v>0.13291703350039899</v>
      </c>
      <c r="D75">
        <v>5.4268557542286301E-2</v>
      </c>
      <c r="E75">
        <v>0.39391976384102401</v>
      </c>
    </row>
    <row r="76" spans="1:5">
      <c r="A76">
        <v>74</v>
      </c>
      <c r="B76">
        <v>9.1129399573561698E-4</v>
      </c>
      <c r="C76">
        <v>0.128933363507339</v>
      </c>
      <c r="D76">
        <v>5.1131377093850898E-2</v>
      </c>
      <c r="E76">
        <v>0.387207806785208</v>
      </c>
    </row>
    <row r="77" spans="1:5">
      <c r="A77">
        <v>75</v>
      </c>
      <c r="B77">
        <v>8.1337212945111902E-4</v>
      </c>
      <c r="C77">
        <v>0.12506394203006199</v>
      </c>
      <c r="D77">
        <v>4.8111309635967998E-2</v>
      </c>
      <c r="E77">
        <v>0.38049165874858998</v>
      </c>
    </row>
    <row r="78" spans="1:5">
      <c r="A78">
        <v>76</v>
      </c>
      <c r="B78">
        <v>7.2575198904675103E-4</v>
      </c>
      <c r="C78">
        <v>0.12130571396534399</v>
      </c>
      <c r="D78">
        <v>4.5209049159488902E-2</v>
      </c>
      <c r="E78">
        <v>0.37377535689159602</v>
      </c>
    </row>
    <row r="79" spans="1:5">
      <c r="A79">
        <v>77</v>
      </c>
      <c r="B79">
        <v>6.4737621873581003E-4</v>
      </c>
      <c r="C79">
        <v>0.11765569557543699</v>
      </c>
      <c r="D79">
        <v>4.24248312286052E-2</v>
      </c>
      <c r="E79">
        <v>0.36706288012305899</v>
      </c>
    </row>
    <row r="80" spans="1:5">
      <c r="A80">
        <v>78</v>
      </c>
      <c r="B80">
        <v>5.7729283145556605E-4</v>
      </c>
      <c r="C80">
        <v>0.114110973367229</v>
      </c>
      <c r="D80">
        <v>3.9758455609747501E-2</v>
      </c>
      <c r="E80">
        <v>0.36035814495278701</v>
      </c>
    </row>
    <row r="81" spans="1:5">
      <c r="A81">
        <v>79</v>
      </c>
      <c r="B81">
        <v>5.1464508515164104E-4</v>
      </c>
      <c r="C81">
        <v>0.11066870295362</v>
      </c>
      <c r="D81">
        <v>3.7209310443826402E-2</v>
      </c>
      <c r="E81">
        <v>0.35366500150500502</v>
      </c>
    </row>
    <row r="82" spans="1:5">
      <c r="A82">
        <v>80</v>
      </c>
      <c r="B82">
        <v>4.5866228672268599E-4</v>
      </c>
      <c r="C82">
        <v>0.107326107900433</v>
      </c>
      <c r="D82">
        <v>3.4776397701187303E-2</v>
      </c>
      <c r="E82">
        <v>0.34698722969766499</v>
      </c>
    </row>
    <row r="83" spans="1:5">
      <c r="A83">
        <v>81</v>
      </c>
      <c r="B83">
        <v>4.0865144404607102E-4</v>
      </c>
      <c r="C83">
        <v>0.104080478561907</v>
      </c>
      <c r="D83">
        <v>3.2458359660416103E-2</v>
      </c>
      <c r="E83">
        <v>0.34032853559222598</v>
      </c>
    </row>
    <row r="84" spans="1:5">
      <c r="A84">
        <v>82</v>
      </c>
      <c r="B84">
        <v>3.6398969266594901E-4</v>
      </c>
      <c r="C84">
        <v>0.100929170907554</v>
      </c>
      <c r="D84">
        <v>3.02535061564492E-2</v>
      </c>
      <c r="E84">
        <v>0.33369254791803499</v>
      </c>
    </row>
    <row r="85" spans="1:5">
      <c r="A85">
        <v>83</v>
      </c>
      <c r="B85">
        <v>3.24117429493803E-4</v>
      </c>
      <c r="C85">
        <v>9.7869605342944796E-2</v>
      </c>
      <c r="D85">
        <v>2.8159842350134599E-2</v>
      </c>
      <c r="E85">
        <v>0.32708281477506501</v>
      </c>
    </row>
    <row r="86" spans="1:5">
      <c r="A86">
        <v>84</v>
      </c>
      <c r="B86">
        <v>2.8853209126155802E-4</v>
      </c>
      <c r="C86">
        <v>9.4899265526778603E-2</v>
      </c>
      <c r="D86">
        <v>2.6175096780258599E-2</v>
      </c>
      <c r="E86">
        <v>0.32050280051826902</v>
      </c>
    </row>
    <row r="87" spans="1:5">
      <c r="A87">
        <v>85</v>
      </c>
      <c r="B87">
        <v>2.5678252049329099E-4</v>
      </c>
      <c r="C87">
        <v>9.2015697186369302E-2</v>
      </c>
      <c r="D87">
        <v>2.4296749469887802E-2</v>
      </c>
      <c r="E87">
        <v>0.31395588282641701</v>
      </c>
    </row>
    <row r="88" spans="1:5">
      <c r="A88">
        <v>86</v>
      </c>
      <c r="B88">
        <v>2.2846386643926399E-4</v>
      </c>
      <c r="C88">
        <v>8.9216506933524301E-2</v>
      </c>
      <c r="D88">
        <v>2.25220598714404E-2</v>
      </c>
      <c r="E88">
        <v>0.30744534995780398</v>
      </c>
    </row>
    <row r="89" spans="1:5">
      <c r="A89">
        <v>87</v>
      </c>
      <c r="B89">
        <v>2.0321297276179199E-4</v>
      </c>
      <c r="C89">
        <v>8.6499361082607001E-2</v>
      </c>
      <c r="D89">
        <v>2.0848094448960401E-2</v>
      </c>
      <c r="E89">
        <v>0.30097439819481098</v>
      </c>
    </row>
    <row r="90" spans="1:5">
      <c r="A90">
        <v>88</v>
      </c>
      <c r="B90">
        <v>1.8070420779334E-4</v>
      </c>
      <c r="C90">
        <v>8.3861984472423198E-2</v>
      </c>
      <c r="D90">
        <v>1.92717537113711E-2</v>
      </c>
      <c r="E90">
        <v>0.29454612947883002</v>
      </c>
    </row>
    <row r="91" spans="1:5">
      <c r="A91">
        <v>89</v>
      </c>
      <c r="B91">
        <v>1.6064569692006699E-4</v>
      </c>
      <c r="C91">
        <v>8.13021592934213E-2</v>
      </c>
      <c r="D91">
        <v>1.7789798526785E-2</v>
      </c>
      <c r="E91">
        <v>0.28816354923663701</v>
      </c>
    </row>
    <row r="92" spans="1:5">
      <c r="A92">
        <v>90</v>
      </c>
      <c r="B92">
        <v>1.42775920095841E-4</v>
      </c>
      <c r="C92">
        <v>7.8817723921567606E-2</v>
      </c>
      <c r="D92">
        <v>1.63988755649992E-2</v>
      </c>
      <c r="E92">
        <v>0.28182956439886597</v>
      </c>
    </row>
    <row r="93" spans="1:5">
      <c r="A93">
        <v>91</v>
      </c>
      <c r="B93">
        <v>1.2686064067921499E-4</v>
      </c>
      <c r="C93">
        <v>7.6406571760127703E-2</v>
      </c>
      <c r="D93">
        <v>1.50955417328607E-2</v>
      </c>
      <c r="E93">
        <v>0.27554698161081498</v>
      </c>
    </row>
    <row r="94" spans="1:5">
      <c r="A94">
        <v>92</v>
      </c>
      <c r="B94">
        <v>1.12690134725272E-4</v>
      </c>
      <c r="C94">
        <v>7.4066650090471906E-2</v>
      </c>
      <c r="D94">
        <v>1.3876287485010901E-2</v>
      </c>
      <c r="E94">
        <v>0.26931850563535598</v>
      </c>
    </row>
    <row r="95" spans="1:5">
      <c r="A95">
        <v>93</v>
      </c>
      <c r="B95">
        <v>1.00076692571639E-4</v>
      </c>
      <c r="C95">
        <v>7.1795958932915405E-2</v>
      </c>
      <c r="D95">
        <v>1.2737558910399301E-2</v>
      </c>
      <c r="E95">
        <v>0.26314673794736398</v>
      </c>
    </row>
    <row r="96" spans="1:5">
      <c r="A96">
        <v>94</v>
      </c>
      <c r="B96">
        <v>8.8852367048505206E-5</v>
      </c>
      <c r="C96">
        <v>6.9592549918503402E-2</v>
      </c>
      <c r="D96">
        <v>1.16757785126605E-2</v>
      </c>
      <c r="E96">
        <v>0.25703417551860203</v>
      </c>
    </row>
    <row r="97" spans="1:5">
      <c r="A97">
        <v>95</v>
      </c>
      <c r="B97">
        <v>7.88669449310068E-5</v>
      </c>
      <c r="C97">
        <v>6.7454525172559607E-2</v>
      </c>
      <c r="D97">
        <v>1.0687364619805399E-2</v>
      </c>
      <c r="E97">
        <v>0.25098320979167599</v>
      </c>
    </row>
    <row r="98" spans="1:5">
      <c r="A98">
        <v>96</v>
      </c>
      <c r="B98">
        <v>6.9986120352956907E-5</v>
      </c>
      <c r="C98">
        <v>6.5380036210731199E-2</v>
      </c>
      <c r="D98">
        <v>9.7687493754929199E-3</v>
      </c>
      <c r="E98">
        <v>0.24499612584122199</v>
      </c>
    </row>
    <row r="99" spans="1:5">
      <c r="A99">
        <v>97</v>
      </c>
      <c r="B99">
        <v>6.2089850826903799E-5</v>
      </c>
      <c r="C99">
        <v>6.3367282848184395E-2</v>
      </c>
      <c r="D99">
        <v>8.9163952802674001E-3</v>
      </c>
      <c r="E99">
        <v>0.23907510172014501</v>
      </c>
    </row>
    <row r="100" spans="1:5">
      <c r="A100">
        <v>98</v>
      </c>
      <c r="B100">
        <v>5.5070878279762197E-5</v>
      </c>
      <c r="C100">
        <v>6.1414512122530497E-2</v>
      </c>
      <c r="D100">
        <v>8.1268102664364805E-3</v>
      </c>
      <c r="E100">
        <v>0.23322220798836801</v>
      </c>
    </row>
    <row r="101" spans="1:5">
      <c r="A101">
        <v>99</v>
      </c>
      <c r="B101">
        <v>4.8833399127710799E-5</v>
      </c>
      <c r="C101">
        <v>5.9520017230994801E-2</v>
      </c>
      <c r="D101">
        <v>7.39656130459813E-3</v>
      </c>
      <c r="E101">
        <v>0.22743940742118199</v>
      </c>
    </row>
    <row r="102" spans="1:5">
      <c r="A102">
        <v>100</v>
      </c>
      <c r="B102">
        <v>4.3291868890075899E-5</v>
      </c>
      <c r="C102">
        <v>5.7682136482278198E-2</v>
      </c>
      <c r="D102">
        <v>6.7222865531101498E-3</v>
      </c>
      <c r="E102">
        <v>0.22172855489396401</v>
      </c>
    </row>
    <row r="103" spans="1:5">
      <c r="A103">
        <v>101</v>
      </c>
      <c r="B103">
        <v>3.8369928190174397E-5</v>
      </c>
      <c r="C103">
        <v>5.5899252263501502E-2</v>
      </c>
      <c r="D103">
        <v>6.1007060739548501E-3</v>
      </c>
      <c r="E103">
        <v>0.21609139743969599</v>
      </c>
    </row>
    <row r="104" spans="1:5">
      <c r="A104">
        <v>102</v>
      </c>
      <c r="B104">
        <v>3.3999438221560701E-5</v>
      </c>
      <c r="C104">
        <v>5.4169790022569102E-2</v>
      </c>
      <c r="D104">
        <v>5.5286311494262604E-3</v>
      </c>
      <c r="E104">
        <v>0.21052957447544601</v>
      </c>
    </row>
    <row r="105" spans="1:5">
      <c r="A105">
        <v>103</v>
      </c>
      <c r="B105">
        <v>3.0119614880178899E-5</v>
      </c>
      <c r="C105">
        <v>5.24922172662401E-2</v>
      </c>
      <c r="D105">
        <v>5.0029722438234897E-3</v>
      </c>
      <c r="E105">
        <v>0.20504461819361899</v>
      </c>
    </row>
    <row r="106" spans="1:5">
      <c r="A106">
        <v>104</v>
      </c>
      <c r="B106">
        <v>2.66762517852763E-5</v>
      </c>
      <c r="C106">
        <v>5.0865042574145397E-2</v>
      </c>
      <c r="D106">
        <v>4.52074566285129E-3</v>
      </c>
      <c r="E106">
        <v>0.19963795411358501</v>
      </c>
    </row>
    <row r="107" spans="1:5">
      <c r="A107">
        <v>105</v>
      </c>
      <c r="B107">
        <v>2.3621023342723499E-5</v>
      </c>
      <c r="C107">
        <v>4.9286814628949703E-2</v>
      </c>
      <c r="D107">
        <v>4.07907897070817E-3</v>
      </c>
      <c r="E107">
        <v>0.194310901788979</v>
      </c>
    </row>
    <row r="108" spans="1:5">
      <c r="A108">
        <v>106</v>
      </c>
      <c r="B108">
        <v>2.09108598511801E-5</v>
      </c>
      <c r="C108">
        <v>4.7756121262815102E-2</v>
      </c>
      <c r="D108">
        <v>3.6752152308992302E-3</v>
      </c>
      <c r="E108">
        <v>0.189064675665752</v>
      </c>
    </row>
    <row r="109" spans="1:5">
      <c r="A109">
        <v>107</v>
      </c>
      <c r="B109">
        <v>1.8507387421342099E-5</v>
      </c>
      <c r="C109">
        <v>4.62715885202893E-2</v>
      </c>
      <c r="D109">
        <v>3.30651614167521E-3</v>
      </c>
      <c r="E109">
        <v>0.183900386085838</v>
      </c>
    </row>
    <row r="110" spans="1:5">
      <c r="A110">
        <v>108</v>
      </c>
      <c r="B110">
        <v>1.6376426177819401E-5</v>
      </c>
      <c r="C110">
        <v>4.4831879737704798E-2</v>
      </c>
      <c r="D110">
        <v>2.9704641407141599E-3</v>
      </c>
      <c r="E110">
        <v>0.178819040431073</v>
      </c>
    </row>
    <row r="111" spans="1:5">
      <c r="A111">
        <v>109</v>
      </c>
      <c r="B111">
        <v>1.44875408480416E-5</v>
      </c>
      <c r="C111">
        <v>4.3435694639145199E-2</v>
      </c>
      <c r="D111">
        <v>2.6646635562836301E-3</v>
      </c>
      <c r="E111">
        <v>0.173821544401835</v>
      </c>
    </row>
    <row r="112" spans="1:5">
      <c r="A112">
        <v>110</v>
      </c>
      <c r="B112">
        <v>1.2813638418514699E-5</v>
      </c>
      <c r="C112">
        <v>4.2081768449008697E-2</v>
      </c>
      <c r="D112">
        <v>2.3868408837126299E-3</v>
      </c>
      <c r="E112">
        <v>0.168908703424719</v>
      </c>
    </row>
    <row r="113" spans="1:5">
      <c r="A113">
        <v>111</v>
      </c>
      <c r="B113">
        <v>1.1330608060891399E-5</v>
      </c>
      <c r="C113">
        <v>4.0768871021167503E-2</v>
      </c>
      <c r="D113">
        <v>2.1348442666359701E-3</v>
      </c>
      <c r="E113">
        <v>0.16408122418336399</v>
      </c>
    </row>
    <row r="114" spans="1:5">
      <c r="A114">
        <v>112</v>
      </c>
      <c r="B114">
        <v>1.0016999003394999E-5</v>
      </c>
      <c r="C114">
        <v>3.94958059847028E-2</v>
      </c>
      <c r="D114">
        <v>1.90664226222903E-3</v>
      </c>
      <c r="E114">
        <v>0.15933971626648</v>
      </c>
    </row>
    <row r="115" spans="1:5">
      <c r="A115">
        <v>113</v>
      </c>
      <c r="B115">
        <v>8.8537324514867302E-6</v>
      </c>
      <c r="C115">
        <v>3.8261409906168803E-2</v>
      </c>
      <c r="D115">
        <v>1.70032196860864E-3</v>
      </c>
      <c r="E115">
        <v>0.15468469392696799</v>
      </c>
    </row>
    <row r="116" spans="1:5">
      <c r="A116">
        <v>114</v>
      </c>
      <c r="B116">
        <v>7.8238440492914593E-6</v>
      </c>
      <c r="C116">
        <v>3.7064551468321001E-2</v>
      </c>
      <c r="D116">
        <v>1.51408659082483E-3</v>
      </c>
      <c r="E116">
        <v>0.15011657794593999</v>
      </c>
    </row>
    <row r="117" spans="1:5">
      <c r="A117">
        <v>115</v>
      </c>
      <c r="B117">
        <v>6.9122537238587201E-6</v>
      </c>
      <c r="C117">
        <v>3.5904130665224701E-2</v>
      </c>
      <c r="D117">
        <v>1.34625251949208E-3</v>
      </c>
      <c r="E117">
        <v>0.145635697595385</v>
      </c>
    </row>
    <row r="118" spans="1:5">
      <c r="A118">
        <v>116</v>
      </c>
      <c r="B118">
        <v>6.1055600711961103E-6</v>
      </c>
      <c r="C118">
        <v>3.47790780136428E-2</v>
      </c>
      <c r="D118">
        <v>1.19524599319815E-3</v>
      </c>
      <c r="E118">
        <v>0.141242292693153</v>
      </c>
    </row>
    <row r="119" spans="1:5">
      <c r="A119">
        <v>117</v>
      </c>
      <c r="B119">
        <v>5.39185672924932E-6</v>
      </c>
      <c r="C119">
        <v>3.3688353780585399E-2</v>
      </c>
      <c r="D119">
        <v>1.0595994124667199E-3</v>
      </c>
      <c r="E119">
        <v>0.13693651574389301</v>
      </c>
    </row>
    <row r="120" spans="1:5">
      <c r="A120">
        <v>118</v>
      </c>
      <c r="B120">
        <v>4.7605684414357501E-6</v>
      </c>
      <c r="C120">
        <v>3.2630947226891298E-2</v>
      </c>
      <c r="D120">
        <v>9.3794736932196099E-4</v>
      </c>
      <c r="E120">
        <v>0.132718434159564</v>
      </c>
    </row>
    <row r="121" spans="1:5">
      <c r="A121">
        <v>119</v>
      </c>
      <c r="B121">
        <v>4.2023047475405798E-6</v>
      </c>
      <c r="C121">
        <v>3.16058758666979E-2</v>
      </c>
      <c r="D121">
        <v>8.2902245248830996E-4</v>
      </c>
      <c r="E121">
        <v>0.12858803255311299</v>
      </c>
    </row>
    <row r="122" spans="1:5">
      <c r="A122">
        <v>120</v>
      </c>
      <c r="B122">
        <v>3.70872944910953E-6</v>
      </c>
      <c r="C122">
        <v>3.0612184742642899E-2</v>
      </c>
      <c r="D122">
        <v>7.3165088403353998E-4</v>
      </c>
      <c r="E122">
        <v>0.12454521509895899</v>
      </c>
    </row>
    <row r="123" spans="1:5">
      <c r="A123">
        <v>121</v>
      </c>
      <c r="B123">
        <v>3.27244418606625E-6</v>
      </c>
      <c r="C123">
        <v>2.9648945716633599E-2</v>
      </c>
      <c r="D123">
        <v>6.4558138158626096E-4</v>
      </c>
      <c r="E123">
        <v>0.12062629154957399</v>
      </c>
    </row>
    <row r="124" spans="1:5">
      <c r="A124">
        <v>122</v>
      </c>
      <c r="B124">
        <v>2.8868846321032101E-6</v>
      </c>
      <c r="C124">
        <v>2.8715256776007701E-2</v>
      </c>
      <c r="D124">
        <v>5.6951894770547104E-4</v>
      </c>
      <c r="E124">
        <v>0.11682759207995499</v>
      </c>
    </row>
    <row r="125" spans="1:5">
      <c r="A125">
        <v>123</v>
      </c>
      <c r="B125">
        <v>2.5462279702244801E-6</v>
      </c>
      <c r="C125">
        <v>2.7810241354902801E-2</v>
      </c>
      <c r="D125">
        <v>5.02314868455277E-4</v>
      </c>
      <c r="E125">
        <v>0.113145550395019</v>
      </c>
    </row>
    <row r="126" spans="1:5">
      <c r="A126">
        <v>124</v>
      </c>
      <c r="B126">
        <v>2.24531044828059E-6</v>
      </c>
      <c r="C126">
        <v>2.6933047670641901E-2</v>
      </c>
      <c r="D126">
        <v>4.42950448922251E-4</v>
      </c>
      <c r="E126">
        <v>0.109576701029702</v>
      </c>
    </row>
    <row r="127" spans="1:5">
      <c r="A127">
        <v>125</v>
      </c>
      <c r="B127">
        <v>1.97955393890584E-6</v>
      </c>
      <c r="C127">
        <v>2.6082848074939501E-2</v>
      </c>
      <c r="D127">
        <v>3.9052252510365199E-4</v>
      </c>
      <c r="E127">
        <v>0.106117676709354</v>
      </c>
    </row>
    <row r="128" spans="1:5">
      <c r="A128">
        <v>126</v>
      </c>
      <c r="B128">
        <v>1.7449005402880201E-6</v>
      </c>
      <c r="C128">
        <v>2.52588384197228E-2</v>
      </c>
      <c r="D128">
        <v>3.4423056207533701E-4</v>
      </c>
      <c r="E128">
        <v>0.10276520576958401</v>
      </c>
    </row>
    <row r="129" spans="1:5">
      <c r="A129">
        <v>127</v>
      </c>
      <c r="B129">
        <v>1.5377543548884299E-6</v>
      </c>
      <c r="C129">
        <v>2.44602374373598E-2</v>
      </c>
      <c r="D129">
        <v>3.0336516821163098E-4</v>
      </c>
      <c r="E129">
        <v>9.9516109634733896E-2</v>
      </c>
    </row>
    <row r="130" spans="1:5">
      <c r="A130">
        <v>128</v>
      </c>
      <c r="B130">
        <v>1.3549296736912E-6</v>
      </c>
      <c r="C130">
        <v>2.36862861350817E-2</v>
      </c>
      <c r="D130">
        <v>2.6729787307549899E-4</v>
      </c>
      <c r="E130">
        <v>9.6367300354092203E-2</v>
      </c>
    </row>
    <row r="131" spans="1:5">
      <c r="A131">
        <v>129</v>
      </c>
      <c r="B131">
        <v>1.19360487479937E-6</v>
      </c>
      <c r="C131">
        <v>2.2936247203381901E-2</v>
      </c>
      <c r="D131">
        <v>2.35472032623836E-4</v>
      </c>
      <c r="E131">
        <v>9.3315778194975593E-2</v>
      </c>
    </row>
    <row r="132" spans="1:5">
      <c r="A132">
        <v>130</v>
      </c>
      <c r="B132">
        <v>1.0512814181178599E-6</v>
      </c>
      <c r="C132">
        <v>2.2209404438172299E-2</v>
      </c>
      <c r="D132">
        <v>2.0739473975882599E-4</v>
      </c>
      <c r="E132">
        <v>9.0358629291779305E-2</v>
      </c>
    </row>
    <row r="133" spans="1:5">
      <c r="A133">
        <v>131</v>
      </c>
      <c r="B133">
        <v>9.2574738329559504E-7</v>
      </c>
      <c r="C133">
        <v>2.15050621764734E-2</v>
      </c>
      <c r="D133">
        <v>1.8262963116454401E-4</v>
      </c>
      <c r="E133">
        <v>8.7493023350091001E-2</v>
      </c>
    </row>
    <row r="134" spans="1:5">
      <c r="A134">
        <v>132</v>
      </c>
      <c r="B134">
        <v>8.1504505678366503E-7</v>
      </c>
      <c r="C134">
        <v>2.0822544745413701E-2</v>
      </c>
      <c r="D134">
        <v>1.6079049294526299E-4</v>
      </c>
      <c r="E134">
        <v>8.4716211404954E-2</v>
      </c>
    </row>
    <row r="135" spans="1:5">
      <c r="A135">
        <v>133</v>
      </c>
      <c r="B135">
        <v>7.1744212647903401E-7</v>
      </c>
      <c r="C135">
        <v>2.0161195924312598E-2</v>
      </c>
      <c r="D135">
        <v>1.41535577961159E-4</v>
      </c>
      <c r="E135">
        <v>8.2025523632358002E-2</v>
      </c>
    </row>
    <row r="136" spans="1:5">
      <c r="A136">
        <v>134</v>
      </c>
      <c r="B136">
        <v>6.3140608957228104E-7</v>
      </c>
      <c r="C136">
        <v>1.9520378419617498E-2</v>
      </c>
      <c r="D136">
        <v>1.24562557058628E-4</v>
      </c>
      <c r="E136">
        <v>7.9418367213030194E-2</v>
      </c>
    </row>
    <row r="137" spans="1:5">
      <c r="A137">
        <v>135</v>
      </c>
      <c r="B137">
        <v>5.5558152145387298E-7</v>
      </c>
      <c r="C137">
        <v>1.8899473352468599E-2</v>
      </c>
      <c r="D137">
        <v>1.09604034724621E-4</v>
      </c>
      <c r="E137">
        <v>7.68922242475992E-2</v>
      </c>
    </row>
    <row r="138" spans="1:5">
      <c r="A138">
        <v>136</v>
      </c>
      <c r="B138">
        <v>4.8876989135378896E-7</v>
      </c>
      <c r="C138">
        <v>1.8297879758661099E-2</v>
      </c>
      <c r="D138">
        <v>9.6423567155549394E-5</v>
      </c>
      <c r="E138">
        <v>7.4444649722199996E-2</v>
      </c>
    </row>
    <row r="139" spans="1:5">
      <c r="A139">
        <v>137</v>
      </c>
      <c r="B139">
        <v>4.29911644242197E-7</v>
      </c>
      <c r="C139">
        <v>1.7715014100776999E-2</v>
      </c>
      <c r="D139">
        <v>8.48121274097355E-5</v>
      </c>
      <c r="E139">
        <v>7.2073269523587405E-2</v>
      </c>
    </row>
    <row r="140" spans="1:5">
      <c r="A140">
        <v>138</v>
      </c>
      <c r="B140">
        <v>3.7807029880919299E-7</v>
      </c>
      <c r="C140">
        <v>1.71503097922566E-2</v>
      </c>
      <c r="D140">
        <v>7.45849682879904E-5</v>
      </c>
      <c r="E140">
        <v>6.9775778502830302E-2</v>
      </c>
    </row>
    <row r="141" spans="1:5">
      <c r="A141">
        <v>139</v>
      </c>
      <c r="B141">
        <v>3.3241833843397899E-7</v>
      </c>
      <c r="C141">
        <v>1.6603216733183102E-2</v>
      </c>
      <c r="D141">
        <v>6.5578838931639098E-5</v>
      </c>
      <c r="E141">
        <v>6.7549938586656699E-2</v>
      </c>
    </row>
    <row r="142" spans="1:5">
      <c r="A142">
        <v>140</v>
      </c>
      <c r="B142">
        <v>2.92224696276939E-7</v>
      </c>
      <c r="C142">
        <v>1.60732008575519E-2</v>
      </c>
      <c r="D142">
        <v>5.7649515905990498E-5</v>
      </c>
      <c r="E142">
        <v>6.5393576935526401E-2</v>
      </c>
    </row>
    <row r="143" spans="1:5">
      <c r="A143">
        <v>141</v>
      </c>
      <c r="B143">
        <v>2.56843657277943E-7</v>
      </c>
      <c r="C143">
        <v>1.55597436917992E-2</v>
      </c>
      <c r="D143">
        <v>5.0669613808290598E-5</v>
      </c>
      <c r="E143">
        <v>6.3304584147511403E-2</v>
      </c>
    </row>
    <row r="144" spans="1:5">
      <c r="A144">
        <v>142</v>
      </c>
      <c r="B144">
        <v>2.25705019187062E-7</v>
      </c>
      <c r="C144">
        <v>1.5062341924364901E-2</v>
      </c>
      <c r="D144">
        <v>4.4526644255129097E-5</v>
      </c>
      <c r="E144">
        <v>6.1280912507067402E-2</v>
      </c>
    </row>
    <row r="145" spans="1:5">
      <c r="A145">
        <v>143</v>
      </c>
      <c r="B145">
        <v>1.98305372029715E-7</v>
      </c>
      <c r="C145">
        <v>1.4580506986065901E-2</v>
      </c>
      <c r="D145">
        <v>3.9121295512396299E-5</v>
      </c>
      <c r="E145">
        <v>5.9320574277792103E-2</v>
      </c>
    </row>
    <row r="146" spans="1:5">
      <c r="A146">
        <v>144</v>
      </c>
      <c r="B146">
        <v>1.7420037083222401E-7</v>
      </c>
      <c r="C146">
        <v>1.41137646410599E-2</v>
      </c>
      <c r="D146">
        <v>3.4365908073712098E-5</v>
      </c>
      <c r="E146">
        <v>5.7421640038263999E-2</v>
      </c>
    </row>
    <row r="147" spans="1:5">
      <c r="A147">
        <v>145</v>
      </c>
      <c r="B147">
        <v>1.5299789019992799E-7</v>
      </c>
      <c r="C147">
        <v>1.36616545881781E-2</v>
      </c>
      <c r="D147">
        <v>3.01831242089985E-5</v>
      </c>
      <c r="E147">
        <v>5.5582237060072599E-2</v>
      </c>
    </row>
    <row r="148" spans="1:5">
      <c r="A148">
        <v>146</v>
      </c>
      <c r="B148">
        <v>1.34351961622097E-7</v>
      </c>
      <c r="C148">
        <v>1.32237300724104E-2</v>
      </c>
      <c r="D148">
        <v>2.6504691927864701E-5</v>
      </c>
      <c r="E148">
        <v>5.38005477271511E-2</v>
      </c>
    </row>
    <row r="149" spans="1:5">
      <c r="A149">
        <v>147</v>
      </c>
      <c r="B149">
        <v>1.17957405332436E-7</v>
      </c>
      <c r="C149">
        <v>1.27995575063278E-2</v>
      </c>
      <c r="D149">
        <v>2.3270405963557302E-5</v>
      </c>
      <c r="E149">
        <v>5.2074807995538597E-2</v>
      </c>
    </row>
    <row r="150" spans="1:5">
      <c r="A150">
        <v>148</v>
      </c>
      <c r="B150">
        <v>1.03545078321066E-7</v>
      </c>
      <c r="C150">
        <v>1.2388716101227701E-2</v>
      </c>
      <c r="D150">
        <v>2.04271703100693E-5</v>
      </c>
      <c r="E150">
        <v>5.0403305892702199E-2</v>
      </c>
    </row>
    <row r="151" spans="1:5">
      <c r="A151">
        <v>149</v>
      </c>
      <c r="B151">
        <v>9.0877668799445804E-8</v>
      </c>
      <c r="C151">
        <v>1.19907975077939E-2</v>
      </c>
      <c r="D151">
        <v>1.7928168562413199E-5</v>
      </c>
      <c r="E151">
        <v>4.8784380055564597E-2</v>
      </c>
    </row>
    <row r="152" spans="1:5">
      <c r="A152">
        <v>150</v>
      </c>
      <c r="B152">
        <v>7.9745975176605E-8</v>
      </c>
      <c r="C152">
        <v>1.1605405466060099E-2</v>
      </c>
      <c r="D152">
        <v>1.5732129840338901E-5</v>
      </c>
      <c r="E152">
        <v>4.7216418306388799E-2</v>
      </c>
    </row>
    <row r="153" spans="1:5">
      <c r="A153">
        <v>151</v>
      </c>
      <c r="B153">
        <v>6.99656145144413E-8</v>
      </c>
      <c r="C153">
        <v>1.1232155464474701E-2</v>
      </c>
      <c r="D153">
        <v>1.3802679438839E-5</v>
      </c>
      <c r="E153">
        <v>4.56978562656866E-2</v>
      </c>
    </row>
    <row r="154" spans="1:5">
      <c r="A154">
        <v>152</v>
      </c>
      <c r="B154">
        <v>6.1374111582384395E-8</v>
      </c>
      <c r="C154">
        <v>1.0870674407862E-2</v>
      </c>
      <c r="D154">
        <v>1.2107764562552899E-5</v>
      </c>
      <c r="E154">
        <v>4.4227176001324003E-2</v>
      </c>
    </row>
    <row r="155" spans="1:5">
      <c r="A155">
        <v>153</v>
      </c>
      <c r="B155">
        <v>5.3828325108589602E-8</v>
      </c>
      <c r="C155">
        <v>1.05206002940809E-2</v>
      </c>
      <c r="D155">
        <v>1.06191465816414E-5</v>
      </c>
      <c r="E155">
        <v>4.2802904713012402E-2</v>
      </c>
    </row>
    <row r="156" spans="1:5">
      <c r="A156">
        <v>154</v>
      </c>
      <c r="B156">
        <v>4.7202172698738803E-8</v>
      </c>
      <c r="C156">
        <v>1.01815818991845E-2</v>
      </c>
      <c r="D156">
        <v>9.3119522082226894E-6</v>
      </c>
      <c r="E156">
        <v>4.1423613451384102E-2</v>
      </c>
    </row>
    <row r="157" spans="1:5">
      <c r="A157">
        <v>155</v>
      </c>
      <c r="B157">
        <v>4.1384620229525303E-8</v>
      </c>
      <c r="C157">
        <v>9.8532784708852197E-3</v>
      </c>
      <c r="D157">
        <v>8.1642768478554096E-6</v>
      </c>
      <c r="E157">
        <v>4.0087915870861503E-2</v>
      </c>
    </row>
    <row r="158" spans="1:5">
      <c r="A158">
        <v>156</v>
      </c>
      <c r="B158">
        <v>3.6277905380193897E-8</v>
      </c>
      <c r="C158">
        <v>9.5353594301361196E-3</v>
      </c>
      <c r="D158">
        <v>7.1568341413194397E-6</v>
      </c>
      <c r="E158">
        <v>3.87944670155436E-2</v>
      </c>
    </row>
    <row r="159" spans="1:5">
      <c r="A159">
        <v>157</v>
      </c>
      <c r="B159">
        <v>3.1795968394142501E-8</v>
      </c>
      <c r="C159">
        <v>9.2275040806391994E-3</v>
      </c>
      <c r="D159">
        <v>6.2726463883372301E-6</v>
      </c>
      <c r="E159">
        <v>3.7541962137345598E-2</v>
      </c>
    </row>
    <row r="160" spans="1:5">
      <c r="A160">
        <v>158</v>
      </c>
      <c r="B160">
        <v>2.7863066210101901E-8</v>
      </c>
      <c r="C160">
        <v>8.9294013260959506E-3</v>
      </c>
      <c r="D160">
        <v>5.4967711460863802E-6</v>
      </c>
      <c r="E160">
        <v>3.6329135545636701E-2</v>
      </c>
    </row>
    <row r="161" spans="1:5">
      <c r="A161">
        <v>159</v>
      </c>
      <c r="B161">
        <v>2.4412548810359299E-8</v>
      </c>
      <c r="C161">
        <v>8.6407493950185297E-3</v>
      </c>
      <c r="D161">
        <v>4.8160598295731298E-6</v>
      </c>
      <c r="E161">
        <v>3.5154759487638902E-2</v>
      </c>
    </row>
    <row r="162" spans="1:5">
      <c r="A162">
        <v>160</v>
      </c>
      <c r="B162">
        <v>2.1385779039030599E-8</v>
      </c>
      <c r="C162">
        <v>8.3612555729223395E-3</v>
      </c>
      <c r="D162">
        <v>4.2189446154961404E-6</v>
      </c>
      <c r="E162">
        <v>3.40176430588559E-2</v>
      </c>
    </row>
    <row r="163" spans="1:5">
      <c r="A163">
        <v>161</v>
      </c>
      <c r="B163">
        <v>1.8731179279668499E-8</v>
      </c>
      <c r="C163">
        <v>8.0906359417246693E-3</v>
      </c>
      <c r="D163">
        <v>3.69525037267162E-6</v>
      </c>
      <c r="E163">
        <v>3.2916631142820799E-2</v>
      </c>
    </row>
    <row r="164" spans="1:5">
      <c r="A164">
        <v>162</v>
      </c>
      <c r="B164">
        <v>1.6403390278126299E-8</v>
      </c>
      <c r="C164">
        <v>7.8286151261764293E-3</v>
      </c>
      <c r="D164">
        <v>3.2360287162547901E-6</v>
      </c>
      <c r="E164">
        <v>3.18506033794577E-2</v>
      </c>
    </row>
    <row r="165" spans="1:5">
      <c r="A165">
        <v>163</v>
      </c>
      <c r="B165">
        <v>1.4362529079987999E-8</v>
      </c>
      <c r="C165">
        <v>7.5749260471578202E-3</v>
      </c>
      <c r="D165">
        <v>2.83341161508928E-6</v>
      </c>
      <c r="E165">
        <v>3.08184731613678E-2</v>
      </c>
    </row>
    <row r="166" spans="1:5">
      <c r="A166">
        <v>164</v>
      </c>
      <c r="B166">
        <v>1.25735345455946E-8</v>
      </c>
      <c r="C166">
        <v>7.3293096816713496E-3</v>
      </c>
      <c r="D166">
        <v>2.4804822761928202E-6</v>
      </c>
      <c r="E166">
        <v>2.9819186657365899E-2</v>
      </c>
    </row>
    <row r="167" spans="1:5">
      <c r="A167">
        <v>165</v>
      </c>
      <c r="B167">
        <v>1.10055902307388E-8</v>
      </c>
      <c r="C167">
        <v>7.09151482936909E-3</v>
      </c>
      <c r="D167">
        <v>2.17116129179072E-6</v>
      </c>
      <c r="E167">
        <v>2.8851721862598899E-2</v>
      </c>
    </row>
    <row r="168" spans="1:5">
      <c r="A168">
        <v>166</v>
      </c>
      <c r="B168">
        <v>9.6316155962055899E-9</v>
      </c>
      <c r="C168">
        <v>6.8612978854538497E-3</v>
      </c>
      <c r="D168">
        <v>1.90010626613031E-6</v>
      </c>
      <c r="E168">
        <v>2.79150876745984E-2</v>
      </c>
    </row>
    <row r="169" spans="1:5">
      <c r="A169">
        <v>167</v>
      </c>
      <c r="B169">
        <v>8.4278175511879306E-9</v>
      </c>
      <c r="C169">
        <v>6.6384226197974197E-3</v>
      </c>
      <c r="D169">
        <v>1.66262334484403E-6</v>
      </c>
      <c r="E169">
        <v>2.7008322994626001E-2</v>
      </c>
    </row>
    <row r="170" spans="1:5">
      <c r="A170">
        <v>168</v>
      </c>
      <c r="B170">
        <v>7.3732952590615799E-9</v>
      </c>
      <c r="C170">
        <v>6.4226599621217996E-3</v>
      </c>
      <c r="D170">
        <v>1.4545892518064301E-6</v>
      </c>
      <c r="E170">
        <v>2.6130495853687E-2</v>
      </c>
    </row>
    <row r="171" spans="1:5">
      <c r="A171">
        <v>169</v>
      </c>
      <c r="B171">
        <v>6.4496919523152199E-9</v>
      </c>
      <c r="C171">
        <v>6.2137877930924902E-3</v>
      </c>
      <c r="D171">
        <v>1.2723825998654201E-6</v>
      </c>
      <c r="E171">
        <v>2.5280702562595798E-2</v>
      </c>
    </row>
    <row r="172" spans="1:5">
      <c r="A172">
        <v>170</v>
      </c>
      <c r="B172">
        <v>5.6408882283671398E-9</v>
      </c>
      <c r="C172">
        <v>6.0115907411759503E-3</v>
      </c>
      <c r="D172">
        <v>1.1128233848414401E-6</v>
      </c>
      <c r="E172">
        <v>2.44580668854943E-2</v>
      </c>
    </row>
    <row r="173" spans="1:5">
      <c r="A173">
        <v>171</v>
      </c>
      <c r="B173">
        <v>4.9327319400597797E-9</v>
      </c>
      <c r="C173">
        <v>5.8158599851164602E-3</v>
      </c>
      <c r="D173">
        <v>9.7311969885313194E-7</v>
      </c>
      <c r="E173">
        <v>2.3661739236231299E-2</v>
      </c>
    </row>
    <row r="174" spans="1:5">
      <c r="A174">
        <v>172</v>
      </c>
      <c r="B174">
        <v>4.3128003631290301E-9</v>
      </c>
      <c r="C174">
        <v>5.6263930618904003E-3</v>
      </c>
      <c r="D174">
        <v>8.5082081118134803E-7</v>
      </c>
      <c r="E174">
        <v>2.2890895897027998E-2</v>
      </c>
    </row>
    <row r="175" spans="1:5">
      <c r="A175">
        <v>173</v>
      </c>
      <c r="B175">
        <v>3.7701908261987601E-9</v>
      </c>
      <c r="C175">
        <v>5.4429936799990997E-3</v>
      </c>
      <c r="D175">
        <v>7.4377586416441702E-7</v>
      </c>
      <c r="E175">
        <v>2.2144738258862099E-2</v>
      </c>
    </row>
    <row r="176" spans="1:5">
      <c r="A176">
        <v>174</v>
      </c>
      <c r="B176">
        <v>3.2953364342283801E-9</v>
      </c>
      <c r="C176">
        <v>5.2654715379642199E-3</v>
      </c>
      <c r="D176">
        <v>6.50097519480698E-7</v>
      </c>
      <c r="E176">
        <v>2.1422492083019499E-2</v>
      </c>
    </row>
    <row r="177" spans="1:5">
      <c r="A177">
        <v>175</v>
      </c>
      <c r="B177">
        <v>2.8798439104014801E-9</v>
      </c>
      <c r="C177">
        <v>5.0936421478926597E-3</v>
      </c>
      <c r="D177">
        <v>5.6812996791387695E-7</v>
      </c>
      <c r="E177">
        <v>2.07234067832704E-2</v>
      </c>
    </row>
    <row r="178" spans="1:5">
      <c r="A178">
        <v>176</v>
      </c>
      <c r="B178">
        <v>2.5163509300110198E-9</v>
      </c>
      <c r="C178">
        <v>4.9273266639806596E-3</v>
      </c>
      <c r="D178">
        <v>4.9642078446116596E-7</v>
      </c>
      <c r="E178">
        <v>2.0046754728141099E-2</v>
      </c>
    </row>
    <row r="179" spans="1:5">
      <c r="A179">
        <v>177</v>
      </c>
      <c r="B179">
        <v>2.1984006281506399E-9</v>
      </c>
      <c r="C179">
        <v>4.7663517158298401E-3</v>
      </c>
      <c r="D179">
        <v>4.3369617145637199E-7</v>
      </c>
      <c r="E179">
        <v>1.9391830562762599E-2</v>
      </c>
    </row>
    <row r="180" spans="1:5">
      <c r="A180">
        <v>178</v>
      </c>
      <c r="B180">
        <v>1.9203312355557599E-9</v>
      </c>
      <c r="C180">
        <v>4.6105492464504298E-3</v>
      </c>
      <c r="D180">
        <v>3.7883918614471498E-7</v>
      </c>
      <c r="E180">
        <v>1.87579505497893E-2</v>
      </c>
    </row>
    <row r="181" spans="1:5">
      <c r="A181">
        <v>179</v>
      </c>
      <c r="B181">
        <v>1.6771790378356199E-9</v>
      </c>
      <c r="C181">
        <v>4.4597563548300703E-3</v>
      </c>
      <c r="D181">
        <v>3.3087059667013E-7</v>
      </c>
      <c r="E181">
        <v>1.8144451928892399E-2</v>
      </c>
    </row>
    <row r="182" spans="1:5">
      <c r="A182">
        <v>180</v>
      </c>
      <c r="B182">
        <v>1.46459306621814E-9</v>
      </c>
      <c r="C182">
        <v>4.31381514294876E-3</v>
      </c>
      <c r="D182">
        <v>2.88932052432452E-7</v>
      </c>
      <c r="E182">
        <v>1.7550692294342699E-2</v>
      </c>
    </row>
    <row r="183" spans="1:5">
      <c r="A183">
        <v>181</v>
      </c>
      <c r="B183">
        <v>1.27876011600876E-9</v>
      </c>
      <c r="C183">
        <v>4.1725725671239002E-3</v>
      </c>
      <c r="D183">
        <v>2.5227129187578701E-7</v>
      </c>
      <c r="E183">
        <v>1.6976048990209901E-2</v>
      </c>
    </row>
    <row r="184" spans="1:5">
      <c r="A184">
        <v>182</v>
      </c>
      <c r="B184">
        <v>1.11633885509173E-9</v>
      </c>
      <c r="C184">
        <v>4.0358802935712796E-3</v>
      </c>
      <c r="D184">
        <v>2.20229143542666E-7</v>
      </c>
      <c r="E184">
        <v>1.6419918522714599E-2</v>
      </c>
    </row>
    <row r="185" spans="1:5">
      <c r="A185">
        <v>183</v>
      </c>
      <c r="B185">
        <v>9.7440193150589697E-10</v>
      </c>
      <c r="C185">
        <v>3.90359455807108E-3</v>
      </c>
      <c r="D185">
        <v>1.9222810516993901E-7</v>
      </c>
      <c r="E185">
        <v>1.5881715989282001E-2</v>
      </c>
    </row>
    <row r="186" spans="1:5">
      <c r="A186">
        <v>184</v>
      </c>
      <c r="B186">
        <v>8.5038511864819401E-10</v>
      </c>
      <c r="C186">
        <v>3.7755760296301101E-3</v>
      </c>
      <c r="D186">
        <v>1.6776231115410799E-7</v>
      </c>
      <c r="E186">
        <v>1.5360874523853299E-2</v>
      </c>
    </row>
    <row r="187" spans="1:5">
      <c r="A187">
        <v>185</v>
      </c>
      <c r="B187">
        <v>7.4204265098303795E-10</v>
      </c>
      <c r="C187">
        <v>3.6516896780342898E-3</v>
      </c>
      <c r="D187">
        <v>1.4638872126751799E-7</v>
      </c>
      <c r="E187">
        <v>1.4856844758025E-2</v>
      </c>
    </row>
    <row r="188" spans="1:5">
      <c r="A188">
        <v>186</v>
      </c>
      <c r="B188">
        <v>6.4740800402396198E-10</v>
      </c>
      <c r="C188">
        <v>3.5318046451876198E-3</v>
      </c>
      <c r="D188">
        <v>1.2771938340993101E-7</v>
      </c>
      <c r="E188">
        <v>1.43690942975937E-2</v>
      </c>
    </row>
    <row r="189" spans="1:5">
      <c r="A189">
        <v>187</v>
      </c>
      <c r="B189">
        <v>5.6475946136540604E-10</v>
      </c>
      <c r="C189">
        <v>3.4157941201366101E-3</v>
      </c>
      <c r="D189">
        <v>1.11414640739975E-7</v>
      </c>
      <c r="E189">
        <v>1.3897107214094401E-2</v>
      </c>
    </row>
    <row r="190" spans="1:5">
      <c r="A190">
        <v>188</v>
      </c>
      <c r="B190">
        <v>4.9258989005706396E-10</v>
      </c>
      <c r="C190">
        <v>3.3035352176811802E-3</v>
      </c>
      <c r="D190">
        <v>9.7177169020179595E-8</v>
      </c>
      <c r="E190">
        <v>1.3440383550931301E-2</v>
      </c>
    </row>
    <row r="191" spans="1:5">
      <c r="A191">
        <v>189</v>
      </c>
      <c r="B191">
        <v>4.2958021485383001E-10</v>
      </c>
      <c r="C191">
        <v>3.1949088604758102E-3</v>
      </c>
      <c r="D191">
        <v>8.4746743668936705E-8</v>
      </c>
      <c r="E191">
        <v>1.2998438843707801E-2</v>
      </c>
    </row>
    <row r="192" spans="1:5">
      <c r="A192">
        <v>190</v>
      </c>
      <c r="B192">
        <v>3.7457614292274502E-10</v>
      </c>
      <c r="C192">
        <v>3.0897996645265998E-3</v>
      </c>
      <c r="D192">
        <v>7.3895648056264E-8</v>
      </c>
      <c r="E192">
        <v>1.2570803654373E-2</v>
      </c>
    </row>
    <row r="193" spans="1:5">
      <c r="A193">
        <v>191</v>
      </c>
      <c r="B193">
        <v>3.2656774440210902E-10</v>
      </c>
      <c r="C193">
        <v>2.98809582799256E-3</v>
      </c>
      <c r="D193">
        <v>6.4424645196486304E-8</v>
      </c>
      <c r="E193">
        <v>1.2157023118811399E-2</v>
      </c>
    </row>
    <row r="194" spans="1:5">
      <c r="A194">
        <v>192</v>
      </c>
      <c r="B194">
        <v>2.8467154163400498E-10</v>
      </c>
      <c r="C194">
        <v>2.8896890232013102E-3</v>
      </c>
      <c r="D194">
        <v>5.6159444347097998E-8</v>
      </c>
      <c r="E194">
        <v>1.17566565075105E-2</v>
      </c>
    </row>
    <row r="195" spans="1:5">
      <c r="A195">
        <v>193</v>
      </c>
      <c r="B195">
        <v>2.4811480167927799E-10</v>
      </c>
      <c r="C195">
        <v>2.7944742917919698E-3</v>
      </c>
      <c r="D195">
        <v>4.8947602266872402E-8</v>
      </c>
      <c r="E195">
        <v>1.13692767989513E-2</v>
      </c>
    </row>
    <row r="196" spans="1:5">
      <c r="A196">
        <v>194</v>
      </c>
      <c r="B196">
        <v>2.1622176353572E-10</v>
      </c>
      <c r="C196">
        <v>2.7023499428996999E-3</v>
      </c>
      <c r="D196">
        <v>4.2655806148432802E-8</v>
      </c>
      <c r="E196">
        <v>1.0994470265373301E-2</v>
      </c>
    </row>
    <row r="197" spans="1:5">
      <c r="A197">
        <v>195</v>
      </c>
      <c r="B197">
        <v>1.88401563901688E-10</v>
      </c>
      <c r="C197">
        <v>2.6132174542988799E-3</v>
      </c>
      <c r="D197">
        <v>3.7167491636540898E-8</v>
      </c>
      <c r="E197">
        <v>1.06318360705773E-2</v>
      </c>
    </row>
    <row r="198" spans="1:5">
      <c r="A198">
        <v>196</v>
      </c>
      <c r="B198">
        <v>1.64137653876161E-10</v>
      </c>
      <c r="C198">
        <v>2.5269813764236299E-3</v>
      </c>
      <c r="D198">
        <v>3.2380754975404898E-8</v>
      </c>
      <c r="E198">
        <v>1.02809858794342E-2</v>
      </c>
    </row>
    <row r="199" spans="1:5">
      <c r="A199">
        <v>197</v>
      </c>
      <c r="B199">
        <v>1.4297852411952399E-10</v>
      </c>
      <c r="C199">
        <v>2.4435492391866802E-3</v>
      </c>
      <c r="D199">
        <v>2.8206523286560301E-8</v>
      </c>
      <c r="E199">
        <v>9.9415434787790795E-3</v>
      </c>
    </row>
    <row r="200" spans="1:5">
      <c r="A200">
        <v>198</v>
      </c>
      <c r="B200">
        <v>1.24529578121376E-10</v>
      </c>
      <c r="C200">
        <v>2.3628314615193602E-3</v>
      </c>
      <c r="D200">
        <v>2.4566951343054801E-8</v>
      </c>
      <c r="E200">
        <v>9.6131444093757804E-3</v>
      </c>
    </row>
    <row r="201" spans="1:5">
      <c r="A201">
        <v>199</v>
      </c>
      <c r="B201">
        <v>1.08446012688977E-10</v>
      </c>
      <c r="C201">
        <v>2.2847412635575198E-3</v>
      </c>
      <c r="D201">
        <v>2.13940170461486E-8</v>
      </c>
      <c r="E201">
        <v>9.2954356086468407E-3</v>
      </c>
    </row>
    <row r="202" spans="1:5">
      <c r="A202">
        <v>200</v>
      </c>
      <c r="B202">
        <v>9.4426581897770398E-11</v>
      </c>
      <c r="C202">
        <v>2.2091945814000698E-3</v>
      </c>
      <c r="D202">
        <v>1.8628291189684102E-8</v>
      </c>
      <c r="E202">
        <v>8.9880750638698503E-3</v>
      </c>
    </row>
    <row r="203" spans="1:5">
      <c r="A203">
        <v>201</v>
      </c>
      <c r="B203">
        <v>8.22081358117327E-11</v>
      </c>
      <c r="C203">
        <v>2.13610998436872E-3</v>
      </c>
      <c r="D203">
        <v>1.6217860069530002E-8</v>
      </c>
      <c r="E203">
        <v>8.6907314755499208E-3</v>
      </c>
    </row>
    <row r="204" spans="1:5">
      <c r="A204">
        <v>202</v>
      </c>
      <c r="B204">
        <v>7.1560838531637602E-11</v>
      </c>
      <c r="C204">
        <v>2.0654085946992598E-3</v>
      </c>
      <c r="D204">
        <v>1.41173821095052E-8</v>
      </c>
      <c r="E204">
        <v>8.4030839306848196E-3</v>
      </c>
    </row>
    <row r="205" spans="1:5">
      <c r="A205">
        <v>203</v>
      </c>
      <c r="B205">
        <v>6.2283981780134994E-11</v>
      </c>
      <c r="C205">
        <v>1.9970140095965099E-3</v>
      </c>
      <c r="D205">
        <v>1.22872619736406E-8</v>
      </c>
      <c r="E205">
        <v>8.1248215856467403E-3</v>
      </c>
    </row>
    <row r="206" spans="1:5">
      <c r="A206">
        <v>204</v>
      </c>
      <c r="B206">
        <v>5.4202320474964399E-11</v>
      </c>
      <c r="C206">
        <v>1.9308522255868301E-3</v>
      </c>
      <c r="D206">
        <v>1.06929276552375E-8</v>
      </c>
      <c r="E206">
        <v>7.8556433584117194E-3</v>
      </c>
    </row>
    <row r="207" spans="1:5">
      <c r="A207">
        <v>205</v>
      </c>
      <c r="B207">
        <v>4.7162865744054798E-11</v>
      </c>
      <c r="C207">
        <v>1.8668515651039E-3</v>
      </c>
      <c r="D207">
        <v>9.3041978091655999E-9</v>
      </c>
      <c r="E207">
        <v>7.5952576298747203E-3</v>
      </c>
    </row>
    <row r="208" spans="1:5">
      <c r="A208">
        <v>206</v>
      </c>
      <c r="B208">
        <v>4.1032078747308799E-11</v>
      </c>
      <c r="C208">
        <v>1.80494260524477E-3</v>
      </c>
      <c r="D208">
        <v>8.0947281545194295E-9</v>
      </c>
      <c r="E208">
        <v>7.3433819539950101E-3</v>
      </c>
    </row>
    <row r="209" spans="1:5">
      <c r="A209">
        <v>207</v>
      </c>
      <c r="B209">
        <v>3.5693415620452799E-11</v>
      </c>
      <c r="C209">
        <v>1.74505810863539E-3</v>
      </c>
      <c r="D209">
        <v>7.0415271459478003E-9</v>
      </c>
      <c r="E209">
        <v>7.0997427765233396E-3</v>
      </c>
    </row>
    <row r="210" spans="1:5">
      <c r="A210">
        <v>208</v>
      </c>
      <c r="B210">
        <v>3.1045179961901497E-11</v>
      </c>
      <c r="C210">
        <v>1.68713295634583E-3</v>
      </c>
      <c r="D210">
        <v>6.1245323164673702E-9</v>
      </c>
      <c r="E210">
        <v>6.8640751620686899E-3</v>
      </c>
    </row>
    <row r="211" spans="1:5">
      <c r="A211">
        <v>209</v>
      </c>
      <c r="B211">
        <v>2.6998644645811699E-11</v>
      </c>
      <c r="C211">
        <v>1.6311040827973701E-3</v>
      </c>
      <c r="D211">
        <v>5.3262397524193498E-9</v>
      </c>
      <c r="E211">
        <v>6.63612252926869E-3</v>
      </c>
    </row>
    <row r="212" spans="1:5">
      <c r="A212">
        <v>210</v>
      </c>
      <c r="B212">
        <v>2.3476409453004701E-11</v>
      </c>
      <c r="C212">
        <v>1.57691041260502E-3</v>
      </c>
      <c r="D212">
        <v>4.6313800901137001E-9</v>
      </c>
      <c r="E212">
        <v>6.4156363938343399E-3</v>
      </c>
    </row>
    <row r="213" spans="1:5">
      <c r="A213">
        <v>211</v>
      </c>
      <c r="B213">
        <v>2.04109651451122E-11</v>
      </c>
      <c r="C213">
        <v>1.52449279930045E-3</v>
      </c>
      <c r="D213">
        <v>4.0266352391880899E-9</v>
      </c>
      <c r="E213">
        <v>6.2023761192451397E-3</v>
      </c>
    </row>
    <row r="214" spans="1:5">
      <c r="A214">
        <v>212</v>
      </c>
      <c r="B214">
        <v>1.7743438235642301E-11</v>
      </c>
      <c r="C214">
        <v>1.4737939658818801E-3</v>
      </c>
      <c r="D214">
        <v>3.50039075350163E-9</v>
      </c>
      <c r="E214">
        <v>5.9961086748772504E-3</v>
      </c>
    </row>
    <row r="215" spans="1:5">
      <c r="A215">
        <v>213</v>
      </c>
      <c r="B215">
        <v>1.54224938958533E-11</v>
      </c>
      <c r="C215">
        <v>1.4247584471387899E-3</v>
      </c>
      <c r="D215">
        <v>3.0425193985536501E-9</v>
      </c>
      <c r="E215">
        <v>5.7966084013525198E-3</v>
      </c>
    </row>
    <row r="216" spans="1:5">
      <c r="A216">
        <v>214</v>
      </c>
      <c r="B216">
        <v>1.3403377227199299E-11</v>
      </c>
      <c r="C216">
        <v>1.3773325337009101E-3</v>
      </c>
      <c r="D216">
        <v>2.64419201558904E-9</v>
      </c>
      <c r="E216">
        <v>5.6036567829024497E-3</v>
      </c>
    </row>
    <row r="217" spans="1:5">
      <c r="A217">
        <v>215</v>
      </c>
      <c r="B217">
        <v>1.1647075583070001E-11</v>
      </c>
      <c r="C217">
        <v>1.3314642177619199E-3</v>
      </c>
      <c r="D217">
        <v>2.2977122660712299E-9</v>
      </c>
      <c r="E217">
        <v>5.4170422265460497E-3</v>
      </c>
    </row>
    <row r="218" spans="1:5">
      <c r="A218">
        <v>216</v>
      </c>
      <c r="B218">
        <v>1.0119586772279499E-11</v>
      </c>
      <c r="C218">
        <v>1.28710314043002E-3</v>
      </c>
      <c r="D218">
        <v>1.99637226429932E-9</v>
      </c>
      <c r="E218">
        <v>5.2365598478863202E-3</v>
      </c>
    </row>
    <row r="219" spans="1:5">
      <c r="A219">
        <v>217</v>
      </c>
      <c r="B219">
        <v>8.7912798619333793E-12</v>
      </c>
      <c r="C219">
        <v>1.24420054065856E-3</v>
      </c>
      <c r="D219">
        <v>1.73432647784922E-9</v>
      </c>
      <c r="E219">
        <v>5.0620112633353604E-3</v>
      </c>
    </row>
    <row r="220" spans="1:5">
      <c r="A220">
        <v>218</v>
      </c>
      <c r="B220">
        <v>7.6363369501862199E-12</v>
      </c>
      <c r="C220">
        <v>1.2027092057112999E-3</v>
      </c>
      <c r="D220">
        <v>1.5064816015962599E-9</v>
      </c>
      <c r="E220">
        <v>4.8932043885829297E-3</v>
      </c>
    </row>
    <row r="221" spans="1:5">
      <c r="A221">
        <v>219</v>
      </c>
      <c r="B221">
        <v>6.6322657283450303E-12</v>
      </c>
      <c r="C221">
        <v>1.1625834231179799E-3</v>
      </c>
      <c r="D221">
        <v>1.3084003969214001E-9</v>
      </c>
      <c r="E221">
        <v>4.7299532431284803E-3</v>
      </c>
    </row>
    <row r="222" spans="1:5">
      <c r="A222">
        <v>220</v>
      </c>
      <c r="B222">
        <v>5.7594739217167397E-12</v>
      </c>
      <c r="C222">
        <v>1.12377893407725E-3</v>
      </c>
      <c r="D222">
        <v>1.1362177382348401E-9</v>
      </c>
      <c r="E222">
        <v>4.5720777607017203E-3</v>
      </c>
    </row>
    <row r="223" spans="1:5">
      <c r="A223">
        <v>221</v>
      </c>
      <c r="B223">
        <v>5.0008978114505798E-12</v>
      </c>
      <c r="C223">
        <v>1.08625288826508E-3</v>
      </c>
      <c r="D223">
        <v>9.8656732849243493E-10</v>
      </c>
      <c r="E223">
        <v>4.4194036054010502E-3</v>
      </c>
    </row>
    <row r="224" spans="1:5">
      <c r="A224">
        <v>222</v>
      </c>
      <c r="B224">
        <v>4.3416780146494702E-12</v>
      </c>
      <c r="C224">
        <v>1.0499638000077401E-3</v>
      </c>
      <c r="D224">
        <v>8.5651773773090101E-10</v>
      </c>
      <c r="E224">
        <v>4.2717619933844196E-3</v>
      </c>
    </row>
    <row r="225" spans="1:5">
      <c r="A225">
        <v>223</v>
      </c>
      <c r="B225">
        <v>3.7688765541361604E-12</v>
      </c>
      <c r="C225">
        <v>1.01487150578008E-3</v>
      </c>
      <c r="D225">
        <v>7.4351658714525003E-10</v>
      </c>
      <c r="E225">
        <v>4.1289895199512396E-3</v>
      </c>
    </row>
    <row r="226" spans="1:5">
      <c r="A226">
        <v>224</v>
      </c>
      <c r="B226">
        <v>3.2712299973224802E-12</v>
      </c>
      <c r="C226">
        <v>9.8093712299013899E-4</v>
      </c>
      <c r="D226">
        <v>6.4534184880826997E-10</v>
      </c>
      <c r="E226">
        <v>3.99092799185861E-3</v>
      </c>
    </row>
    <row r="227" spans="1:5">
      <c r="A227">
        <v>225</v>
      </c>
      <c r="B227">
        <v>2.8389340986965401E-12</v>
      </c>
      <c r="C227">
        <v>9.4812301001304198E-4</v>
      </c>
      <c r="D227">
        <v>5.6005936036207698E-10</v>
      </c>
      <c r="E227">
        <v>3.8574242647194902E-3</v>
      </c>
    </row>
    <row r="228" spans="1:5">
      <c r="A228">
        <v>226</v>
      </c>
      <c r="B228">
        <v>2.4634559539734099E-12</v>
      </c>
      <c r="C228">
        <v>9.1639272743736396E-4</v>
      </c>
      <c r="D228">
        <v>4.8598576715675097E-10</v>
      </c>
      <c r="E228">
        <v>3.7283300853343301E-3</v>
      </c>
    </row>
    <row r="229" spans="1:5">
      <c r="A229">
        <v>227</v>
      </c>
      <c r="B229">
        <v>2.1373701760124799E-12</v>
      </c>
      <c r="C229">
        <v>8.8571100048879495E-4</v>
      </c>
      <c r="D229">
        <v>4.2165620335609198E-10</v>
      </c>
      <c r="E229">
        <v>3.6035019388122001E-3</v>
      </c>
    </row>
    <row r="230" spans="1:5">
      <c r="A230">
        <v>228</v>
      </c>
      <c r="B230">
        <v>1.8542160420197899E-12</v>
      </c>
      <c r="C230">
        <v>8.5604368259649703E-4</v>
      </c>
      <c r="D230">
        <v>3.6579611021739E-10</v>
      </c>
      <c r="E230">
        <v>3.4828009003411201E-3</v>
      </c>
    </row>
    <row r="231" spans="1:5">
      <c r="A231">
        <v>229</v>
      </c>
      <c r="B231">
        <v>1.60837294607596E-12</v>
      </c>
      <c r="C231">
        <v>8.2735772006870499E-4</v>
      </c>
      <c r="D231">
        <v>3.1729666561000999E-10</v>
      </c>
      <c r="E231">
        <v>3.3660924914712502E-3</v>
      </c>
    </row>
    <row r="232" spans="1:5">
      <c r="A232">
        <v>230</v>
      </c>
      <c r="B232">
        <v>1.3949518274616401E-12</v>
      </c>
      <c r="C232">
        <v>7.9962111784500701E-4</v>
      </c>
      <c r="D232">
        <v>2.7519336520801298E-10</v>
      </c>
      <c r="E232">
        <v>3.25324654077853E-3</v>
      </c>
    </row>
    <row r="233" spans="1:5">
      <c r="A233">
        <v>231</v>
      </c>
      <c r="B233">
        <v>1.2097005395552E-12</v>
      </c>
      <c r="C233">
        <v>7.7280290629360999E-4</v>
      </c>
      <c r="D233">
        <v>2.3864735385157899E-10</v>
      </c>
      <c r="E233">
        <v>3.1441370487798998E-3</v>
      </c>
    </row>
    <row r="234" spans="1:5">
      <c r="A234">
        <v>232</v>
      </c>
      <c r="B234">
        <v>1.04892138148527E-12</v>
      </c>
      <c r="C234">
        <v>7.4687310902284501E-4</v>
      </c>
      <c r="D234">
        <v>2.06929156352897E-10</v>
      </c>
      <c r="E234">
        <v>3.03864205697484E-3</v>
      </c>
    </row>
    <row r="235" spans="1:5">
      <c r="A235">
        <v>233</v>
      </c>
      <c r="B235">
        <v>9.0939923982067904E-13</v>
      </c>
      <c r="C235">
        <v>7.2180271167697897E-4</v>
      </c>
      <c r="D235">
        <v>1.79404501429454E-10</v>
      </c>
      <c r="E235">
        <v>2.9366435208916701E-3</v>
      </c>
    </row>
    <row r="236" spans="1:5">
      <c r="A236">
        <v>234</v>
      </c>
      <c r="B236">
        <v>7.8833898439473497E-13</v>
      </c>
      <c r="C236">
        <v>6.9756363168726305E-4</v>
      </c>
      <c r="D236">
        <v>1.55521971274825E-10</v>
      </c>
      <c r="E236">
        <v>2.83802718702005E-3</v>
      </c>
    </row>
    <row r="237" spans="1:5">
      <c r="A237">
        <v>235</v>
      </c>
      <c r="B237">
        <v>6.8331093441514601E-13</v>
      </c>
      <c r="C237">
        <v>6.7412868894995196E-4</v>
      </c>
      <c r="D237">
        <v>1.3480224321961901E-10</v>
      </c>
      <c r="E237">
        <v>2.7426824735150299E-3</v>
      </c>
    </row>
    <row r="238" spans="1:5">
      <c r="A238">
        <v>236</v>
      </c>
      <c r="B238">
        <v>5.9220336139565801E-13</v>
      </c>
      <c r="C238">
        <v>6.5147157740384602E-4</v>
      </c>
      <c r="D238">
        <v>1.16828719602828E-10</v>
      </c>
      <c r="E238">
        <v>2.6505023545606299E-3</v>
      </c>
    </row>
    <row r="239" spans="1:5">
      <c r="A239">
        <v>237</v>
      </c>
      <c r="B239">
        <v>5.1318112686817003E-13</v>
      </c>
      <c r="C239">
        <v>6.2956683748065202E-4</v>
      </c>
      <c r="D239">
        <v>1.01239367900663E-10</v>
      </c>
      <c r="E239">
        <v>2.5613832482845999E-3</v>
      </c>
    </row>
    <row r="240" spans="1:5">
      <c r="A240">
        <v>238</v>
      </c>
      <c r="B240">
        <v>4.4464966766676598E-13</v>
      </c>
      <c r="C240">
        <v>6.0838982940224901E-4</v>
      </c>
      <c r="D240">
        <v>8.7719615813906405E-11</v>
      </c>
      <c r="E240">
        <v>2.4752249081187302E-3</v>
      </c>
    </row>
    <row r="241" spans="1:5">
      <c r="A241">
        <v>239</v>
      </c>
      <c r="B241">
        <v>3.8522364189584601E-13</v>
      </c>
      <c r="C241">
        <v>5.8791670729964698E-4</v>
      </c>
      <c r="D241">
        <v>7.59961658058899E-11</v>
      </c>
      <c r="E241">
        <v>2.3919303175022099E-3</v>
      </c>
    </row>
    <row r="242" spans="1:5">
      <c r="A242">
        <v>240</v>
      </c>
      <c r="B242">
        <v>3.3369963632310801E-13</v>
      </c>
      <c r="C242">
        <v>5.6812439412918202E-4</v>
      </c>
      <c r="D242">
        <v>6.5831610870427094E-11</v>
      </c>
      <c r="E242">
        <v>2.31140558782855E-3</v>
      </c>
    </row>
    <row r="243" spans="1:5">
      <c r="A243">
        <v>241</v>
      </c>
      <c r="B243">
        <v>2.8903241246794898E-13</v>
      </c>
      <c r="C243">
        <v>5.4899055736213102E-4</v>
      </c>
      <c r="D243">
        <v>5.7019748406639802E-11</v>
      </c>
      <c r="E243">
        <v>2.2335598595391499E-3</v>
      </c>
    </row>
    <row r="244" spans="1:5">
      <c r="A244">
        <v>242</v>
      </c>
      <c r="B244">
        <v>2.5031423548198101E-13</v>
      </c>
      <c r="C244">
        <v>5.3049358542468198E-4</v>
      </c>
      <c r="D244">
        <v>4.9381502260981502E-11</v>
      </c>
      <c r="E244">
        <v>2.1583052062696599E-3</v>
      </c>
    </row>
    <row r="245" spans="1:5">
      <c r="A245">
        <v>243</v>
      </c>
      <c r="B245">
        <v>2.1675688826189799E-13</v>
      </c>
      <c r="C245">
        <v>5.1261256486578204E-4</v>
      </c>
      <c r="D245">
        <v>4.2761374506639803E-11</v>
      </c>
      <c r="E245">
        <v>2.0855565419577401E-3</v>
      </c>
    </row>
    <row r="246" spans="1:5">
      <c r="A246">
        <v>244</v>
      </c>
      <c r="B246">
        <v>1.8767602416459099E-13</v>
      </c>
      <c r="C246">
        <v>4.9532725823108695E-4</v>
      </c>
      <c r="D246">
        <v>3.7024358577812102E-11</v>
      </c>
      <c r="E246">
        <v>2.0152315308235099E-3</v>
      </c>
    </row>
    <row r="247" spans="1:5">
      <c r="A247">
        <v>245</v>
      </c>
      <c r="B247">
        <v>1.62477556145231E-13</v>
      </c>
      <c r="C247">
        <v>4.7861808262182799E-4</v>
      </c>
      <c r="D247">
        <v>3.2053254145515997E-11</v>
      </c>
      <c r="E247">
        <v>1.94725050013665E-3</v>
      </c>
    </row>
    <row r="248" spans="1:5">
      <c r="A248">
        <v>246</v>
      </c>
      <c r="B248">
        <v>1.4064581892917401E-13</v>
      </c>
      <c r="C248">
        <v>4.6246608891802298E-4</v>
      </c>
      <c r="D248">
        <v>2.7746331774041499E-11</v>
      </c>
      <c r="E248">
        <v>1.88153635568634E-3</v>
      </c>
    </row>
    <row r="249" spans="1:5">
      <c r="A249">
        <v>247</v>
      </c>
      <c r="B249">
        <v>1.21733274673571E-13</v>
      </c>
      <c r="C249">
        <v>4.4685294164607098E-4</v>
      </c>
      <c r="D249">
        <v>2.4015302074029899E-11</v>
      </c>
      <c r="E249">
        <v>1.81801449987289E-3</v>
      </c>
    </row>
    <row r="250" spans="1:5">
      <c r="A250">
        <v>248</v>
      </c>
      <c r="B250">
        <v>1.05351562100319E-13</v>
      </c>
      <c r="C250">
        <v>4.3176089947132598E-4</v>
      </c>
      <c r="D250">
        <v>2.07835498929478E-11</v>
      </c>
      <c r="E250">
        <v>1.7566127523420199E-3</v>
      </c>
    </row>
    <row r="251" spans="1:5">
      <c r="A251">
        <v>249</v>
      </c>
      <c r="B251">
        <v>9.1163714835680406E-14</v>
      </c>
      <c r="C251">
        <v>4.1717279629681001E-4</v>
      </c>
      <c r="D251">
        <v>1.79845991643639E-11</v>
      </c>
      <c r="E251">
        <v>1.6972612730852901E-3</v>
      </c>
    </row>
    <row r="252" spans="1:5">
      <c r="A252">
        <v>250</v>
      </c>
      <c r="B252">
        <v>7.8877397152067097E-14</v>
      </c>
      <c r="C252">
        <v>4.0307202294978197E-4</v>
      </c>
      <c r="D252">
        <v>1.5560778468332501E-11</v>
      </c>
      <c r="E252">
        <v>1.63989248793221E-3</v>
      </c>
    </row>
    <row r="253" spans="1:5">
      <c r="A253">
        <v>251</v>
      </c>
      <c r="B253">
        <v>6.8239024892205603E-14</v>
      </c>
      <c r="C253">
        <v>3.8944250943839798E-4</v>
      </c>
      <c r="D253">
        <v>1.34620612188243E-11</v>
      </c>
      <c r="E253">
        <v>1.5844410163616399E-3</v>
      </c>
    </row>
    <row r="254" spans="1:5">
      <c r="A254">
        <v>252</v>
      </c>
      <c r="B254">
        <v>5.9028656430797904E-14</v>
      </c>
      <c r="C254">
        <v>3.7626870776120898E-4</v>
      </c>
      <c r="D254">
        <v>1.16450577626456E-11</v>
      </c>
      <c r="E254">
        <v>1.5308436015625999E-3</v>
      </c>
    </row>
    <row r="255" spans="1:5">
      <c r="A255">
        <v>253</v>
      </c>
      <c r="B255">
        <v>5.1055553413203498E-14</v>
      </c>
      <c r="C255">
        <v>3.6353557525277403E-4</v>
      </c>
      <c r="D255">
        <v>1.00721396106585E-11</v>
      </c>
      <c r="E255">
        <v>1.4790390426760299E-3</v>
      </c>
    </row>
    <row r="256" spans="1:5">
      <c r="A256">
        <v>254</v>
      </c>
      <c r="B256">
        <v>4.4154323983648602E-14</v>
      </c>
      <c r="C256">
        <v>3.5122855844910698E-4</v>
      </c>
      <c r="D256">
        <v>8.7106785813929702E-12</v>
      </c>
      <c r="E256">
        <v>1.42896812915172E-3</v>
      </c>
    </row>
    <row r="257" spans="1:5">
      <c r="A257">
        <v>255</v>
      </c>
      <c r="B257">
        <v>3.8181572520808199E-14</v>
      </c>
      <c r="C257">
        <v>3.3933357745719999E-4</v>
      </c>
      <c r="D257">
        <v>7.5323858674423694E-12</v>
      </c>
      <c r="E257">
        <v>1.38057357715585E-3</v>
      </c>
    </row>
    <row r="258" spans="1:5">
      <c r="A258">
        <v>256</v>
      </c>
      <c r="B258">
        <v>3.3012989749170297E-14</v>
      </c>
      <c r="C258">
        <v>3.27837010813291E-4</v>
      </c>
      <c r="D258">
        <v>6.5127379783311E-12</v>
      </c>
      <c r="E258">
        <v>1.3337999679671299E-3</v>
      </c>
    </row>
    <row r="259" spans="1:5">
      <c r="A259">
        <v>257</v>
      </c>
      <c r="B259">
        <v>2.8540825676330598E-14</v>
      </c>
      <c r="C259">
        <v>3.1672568081500898E-4</v>
      </c>
      <c r="D259">
        <v>5.6304782065319398E-12</v>
      </c>
      <c r="E259">
        <v>1.2885936883008601E-3</v>
      </c>
    </row>
    <row r="260" spans="1:5">
      <c r="A260">
        <v>258</v>
      </c>
      <c r="B260">
        <v>2.46716952815948E-14</v>
      </c>
      <c r="C260">
        <v>3.0598683931296403E-4</v>
      </c>
      <c r="D260">
        <v>4.8671837380100602E-12</v>
      </c>
      <c r="E260">
        <v>1.2449028725021801E-3</v>
      </c>
    </row>
    <row r="261" spans="1:5">
      <c r="A261">
        <v>259</v>
      </c>
      <c r="B261">
        <v>2.13246733916988E-14</v>
      </c>
      <c r="C261">
        <v>2.9560815394776702E-4</v>
      </c>
      <c r="D261">
        <v>4.2068898130352997E-12</v>
      </c>
      <c r="E261">
        <v>1.2026773465516501E-3</v>
      </c>
    </row>
    <row r="262" spans="1:5">
      <c r="A262">
        <v>260</v>
      </c>
      <c r="B262">
        <v>1.84296408487808E-14</v>
      </c>
      <c r="C262">
        <v>2.85577694818892E-4</v>
      </c>
      <c r="D262">
        <v>3.6357634614378801E-12</v>
      </c>
      <c r="E262">
        <v>1.16186857382767E-3</v>
      </c>
    </row>
    <row r="263" spans="1:5">
      <c r="A263">
        <v>261</v>
      </c>
      <c r="B263">
        <v>1.5925849011907099E-14</v>
      </c>
      <c r="C263">
        <v>2.7588392157216801E-4</v>
      </c>
      <c r="D263">
        <v>3.1418203102801702E-12</v>
      </c>
      <c r="E263">
        <v>1.12242960257215E-3</v>
      </c>
    </row>
    <row r="264" spans="1:5">
      <c r="A264">
        <v>262</v>
      </c>
      <c r="B264">
        <v>1.3760673930642599E-14</v>
      </c>
      <c r="C264">
        <v>2.6651567089310999E-4</v>
      </c>
      <c r="D264">
        <v>2.71467880965791E-12</v>
      </c>
      <c r="E264">
        <v>1.08431501500732E-3</v>
      </c>
    </row>
    <row r="265" spans="1:5">
      <c r="A265">
        <v>263</v>
      </c>
      <c r="B265">
        <v>1.1888535269546701E-14</v>
      </c>
      <c r="C265">
        <v>2.5746214439364599E-4</v>
      </c>
      <c r="D265">
        <v>2.3453469602416602E-12</v>
      </c>
      <c r="E265">
        <v>1.0474808780530499E-3</v>
      </c>
    </row>
    <row r="266" spans="1:5">
      <c r="A266">
        <v>264</v>
      </c>
      <c r="B266">
        <v>1.02699583177421E-14</v>
      </c>
      <c r="C266">
        <v>2.4871289688019002E-4</v>
      </c>
      <c r="D266">
        <v>2.0260372683609298E-12</v>
      </c>
      <c r="E266">
        <v>1.0118846955957E-3</v>
      </c>
    </row>
    <row r="267" spans="1:5">
      <c r="A267">
        <v>265</v>
      </c>
      <c r="B267">
        <v>8.8707602503565807E-15</v>
      </c>
      <c r="C267">
        <v>2.4025782499134701E-4</v>
      </c>
      <c r="D267">
        <v>1.75000621325486E-12</v>
      </c>
      <c r="E267">
        <v>9.7748536226075194E-4</v>
      </c>
    </row>
    <row r="268" spans="1:5">
      <c r="A268">
        <v>266</v>
      </c>
      <c r="B268">
        <v>7.6613442731959705E-15</v>
      </c>
      <c r="C268">
        <v>2.3208715619390499E-4</v>
      </c>
      <c r="D268">
        <v>1.5114149973153201E-12</v>
      </c>
      <c r="E268">
        <v>9.4424311864321905E-4</v>
      </c>
    </row>
    <row r="269" spans="1:5">
      <c r="A269">
        <v>267</v>
      </c>
      <c r="B269">
        <v>6.6160874259938104E-15</v>
      </c>
      <c r="C269">
        <v>2.2419143812608001E-4</v>
      </c>
      <c r="D269">
        <v>1.3052087731106401E-12</v>
      </c>
      <c r="E269">
        <v>9.12119507950773E-4</v>
      </c>
    </row>
    <row r="270" spans="1:5">
      <c r="A270">
        <v>268</v>
      </c>
      <c r="B270">
        <v>5.7128096844342801E-15</v>
      </c>
      <c r="C270">
        <v>2.1656152827734701E-4</v>
      </c>
      <c r="D270">
        <v>1.12701190887226E-12</v>
      </c>
      <c r="E270">
        <v>8.8107733401627305E-4</v>
      </c>
    </row>
    <row r="271" spans="1:5">
      <c r="A271">
        <v>269</v>
      </c>
      <c r="B271">
        <v>4.9323136229727103E-15</v>
      </c>
      <c r="C271">
        <v>2.09188583994456E-4</v>
      </c>
      <c r="D271">
        <v>9.7303717407726008E-13</v>
      </c>
      <c r="E271">
        <v>8.5108062063742604E-4</v>
      </c>
    </row>
    <row r="272" spans="1:5">
      <c r="A272">
        <v>270</v>
      </c>
      <c r="B272">
        <v>4.2579853107557702E-15</v>
      </c>
      <c r="C272">
        <v>2.02064052803593E-4</v>
      </c>
      <c r="D272">
        <v>8.4000700497694204E-13</v>
      </c>
      <c r="E272">
        <v>8.2209457220263E-4</v>
      </c>
    </row>
    <row r="273" spans="1:5">
      <c r="A273">
        <v>271</v>
      </c>
      <c r="B273">
        <v>3.6754483390924697E-15</v>
      </c>
      <c r="C273">
        <v>1.9517966303891999E-4</v>
      </c>
      <c r="D273">
        <v>7.2508525181373695E-13</v>
      </c>
      <c r="E273">
        <v>7.9408553556331205E-4</v>
      </c>
    </row>
    <row r="274" spans="1:5">
      <c r="A274">
        <v>272</v>
      </c>
      <c r="B274">
        <v>3.1722639448411401E-15</v>
      </c>
      <c r="C274">
        <v>1.88527414768011E-4</v>
      </c>
      <c r="D274">
        <v>6.2581801975013701E-13</v>
      </c>
      <c r="E274">
        <v>7.6702096311422399E-4</v>
      </c>
    </row>
    <row r="275" spans="1:5">
      <c r="A275">
        <v>273</v>
      </c>
      <c r="B275">
        <v>2.7376711205660002E-15</v>
      </c>
      <c r="C275">
        <v>1.8209957100501499E-4</v>
      </c>
      <c r="D275">
        <v>5.4008239830924498E-13</v>
      </c>
      <c r="E275">
        <v>7.4086937704432698E-4</v>
      </c>
    </row>
    <row r="276" spans="1:5">
      <c r="A276">
        <v>274</v>
      </c>
      <c r="B276">
        <v>2.36236140750712E-15</v>
      </c>
      <c r="C276">
        <v>1.7588864920262999E-4</v>
      </c>
      <c r="D276">
        <v>4.66042032972854E-13</v>
      </c>
      <c r="E276">
        <v>7.1560033472199496E-4</v>
      </c>
    </row>
    <row r="277" spans="1:5">
      <c r="A277">
        <v>275</v>
      </c>
      <c r="B277">
        <v>2.0382837670844101E-15</v>
      </c>
      <c r="C277">
        <v>1.6988741301423999E-4</v>
      </c>
      <c r="D277">
        <v>4.02108630613803E-13</v>
      </c>
      <c r="E277">
        <v>6.9118439517941801E-4</v>
      </c>
    </row>
    <row r="278" spans="1:5">
      <c r="A278">
        <v>276</v>
      </c>
      <c r="B278">
        <v>1.7584755345612199E-15</v>
      </c>
      <c r="C278">
        <v>1.64088864317843E-4</v>
      </c>
      <c r="D278">
        <v>3.4690861036573598E-13</v>
      </c>
      <c r="E278">
        <v>6.6759308666204003E-4</v>
      </c>
    </row>
    <row r="279" spans="1:5">
      <c r="A279">
        <v>277</v>
      </c>
      <c r="B279">
        <v>1.5169159865938999E-15</v>
      </c>
      <c r="C279">
        <v>1.58486235493622E-4</v>
      </c>
      <c r="D279">
        <v>2.9925421571598201E-13</v>
      </c>
      <c r="E279">
        <v>6.4479887521001896E-4</v>
      </c>
    </row>
    <row r="280" spans="1:5">
      <c r="A280">
        <v>278</v>
      </c>
      <c r="B280">
        <v>1.30839951310179E-15</v>
      </c>
      <c r="C280">
        <v>1.5307298194730499E-4</v>
      </c>
      <c r="D280">
        <v>2.5811849410040399E-13</v>
      </c>
      <c r="E280">
        <v>6.2277513423957703E-4</v>
      </c>
    </row>
    <row r="281" spans="1:5">
      <c r="A281">
        <v>279</v>
      </c>
      <c r="B281">
        <v>1.1284257822743101E-15</v>
      </c>
      <c r="C281">
        <v>1.4784277487162799E-4</v>
      </c>
      <c r="D281">
        <v>2.2261362887105799E-13</v>
      </c>
      <c r="E281">
        <v>6.0149611509316197E-4</v>
      </c>
    </row>
    <row r="282" spans="1:5">
      <c r="A282">
        <v>280</v>
      </c>
      <c r="B282">
        <v>9.7310463347330993E-16</v>
      </c>
      <c r="C282">
        <v>1.42789494238519E-4</v>
      </c>
      <c r="D282">
        <v>1.9197217675417801E-13</v>
      </c>
      <c r="E282">
        <v>5.8093691852823199E-4</v>
      </c>
    </row>
    <row r="283" spans="1:5">
      <c r="A283">
        <v>281</v>
      </c>
      <c r="B283">
        <v>8.3907373315317798E-16</v>
      </c>
      <c r="C283">
        <v>1.3790722201479299E-4</v>
      </c>
      <c r="D283">
        <v>1.6553082317132699E-13</v>
      </c>
      <c r="E283">
        <v>5.6107346711541497E-4</v>
      </c>
    </row>
    <row r="284" spans="1:5">
      <c r="A284">
        <v>282</v>
      </c>
      <c r="B284">
        <v>7.23427289678198E-16</v>
      </c>
      <c r="C284">
        <v>1.3319023559438801E-4</v>
      </c>
      <c r="D284">
        <v>1.4271631923814899E-13</v>
      </c>
      <c r="E284">
        <v>5.4188247851766705E-4</v>
      </c>
    </row>
    <row r="285" spans="1:5">
      <c r="A285">
        <v>283</v>
      </c>
      <c r="B285">
        <v>6.2365434925885403E-16</v>
      </c>
      <c r="C285">
        <v>1.2863300144038599E-4</v>
      </c>
      <c r="D285">
        <v>1.2303330890749101E-13</v>
      </c>
      <c r="E285">
        <v>5.2334143962291899E-4</v>
      </c>
    </row>
    <row r="286" spans="1:5">
      <c r="A286">
        <v>284</v>
      </c>
      <c r="B286">
        <v>5.3758539167211904E-16</v>
      </c>
      <c r="C286">
        <v>1.24230168930254E-4</v>
      </c>
      <c r="D286">
        <v>1.0605379347767199E-13</v>
      </c>
      <c r="E286">
        <v>5.0542858150354501E-4</v>
      </c>
    </row>
    <row r="287" spans="1:5">
      <c r="A287">
        <v>285</v>
      </c>
      <c r="B287">
        <v>4.63346114902322E-16</v>
      </c>
      <c r="C287">
        <v>1.19976564397956E-4</v>
      </c>
      <c r="D287">
        <v>9.1408014316920795E-14</v>
      </c>
      <c r="E287">
        <v>4.8812285517676898E-4</v>
      </c>
    </row>
    <row r="288" spans="1:5">
      <c r="A288">
        <v>286</v>
      </c>
      <c r="B288">
        <v>3.9931744575357399E-16</v>
      </c>
      <c r="C288">
        <v>1.1586718536676499E-4</v>
      </c>
      <c r="D288">
        <v>7.8776563835295505E-14</v>
      </c>
      <c r="E288">
        <v>4.71403908140954E-4</v>
      </c>
    </row>
    <row r="289" spans="1:5">
      <c r="A289">
        <v>287</v>
      </c>
      <c r="B289">
        <v>3.4410094180922901E-16</v>
      </c>
      <c r="C289">
        <v>1.11897194966803E-4</v>
      </c>
      <c r="D289">
        <v>6.7883560050988296E-14</v>
      </c>
      <c r="E289">
        <v>4.55252061663451E-4</v>
      </c>
    </row>
    <row r="290" spans="1:5">
      <c r="A290">
        <v>288</v>
      </c>
      <c r="B290">
        <v>2.9648886142921699E-16</v>
      </c>
      <c r="C290">
        <v>1.08061916531515E-4</v>
      </c>
      <c r="D290">
        <v>5.8490742058002801E-14</v>
      </c>
      <c r="E290">
        <v>4.3964828879643599E-4</v>
      </c>
    </row>
    <row r="291" spans="1:5">
      <c r="A291">
        <v>289</v>
      </c>
      <c r="B291">
        <v>2.5543827502372502E-16</v>
      </c>
      <c r="C291">
        <v>1.04356828367465E-4</v>
      </c>
      <c r="D291">
        <v>5.0392362748914899E-14</v>
      </c>
      <c r="E291">
        <v>4.2457419309788701E-4</v>
      </c>
    </row>
    <row r="292" spans="1:5">
      <c r="A292">
        <v>290</v>
      </c>
      <c r="B292">
        <v>2.20048674570198E-16</v>
      </c>
      <c r="C292">
        <v>1.00777558691994E-4</v>
      </c>
      <c r="D292">
        <v>4.3410771664228602E-14</v>
      </c>
      <c r="E292">
        <v>4.1001198803554401E-4</v>
      </c>
    </row>
    <row r="293" spans="1:5">
      <c r="A293">
        <v>291</v>
      </c>
      <c r="B293">
        <v>1.8954261094266099E-16</v>
      </c>
      <c r="C293">
        <v>9.7319880733485201E-5</v>
      </c>
      <c r="D293">
        <v>3.7392595162615603E-14</v>
      </c>
      <c r="E293">
        <v>3.9594447705239099E-4</v>
      </c>
    </row>
    <row r="294" spans="1:5">
      <c r="A294">
        <v>292</v>
      </c>
      <c r="B294">
        <v>1.6324895156831899E-16</v>
      </c>
      <c r="C294">
        <v>9.3979707989094897E-5</v>
      </c>
      <c r="D294">
        <v>3.2205433524191702E-14</v>
      </c>
      <c r="E294">
        <v>3.8235503427282098E-4</v>
      </c>
    </row>
    <row r="295" spans="1:5">
      <c r="A295">
        <v>293</v>
      </c>
      <c r="B295">
        <v>1.40588405493678E-16</v>
      </c>
      <c r="C295">
        <v>9.0753089635010396E-5</v>
      </c>
      <c r="D295">
        <v>2.7735005363902199E-14</v>
      </c>
      <c r="E295">
        <v>3.6922758582932902E-4</v>
      </c>
    </row>
    <row r="296" spans="1:5">
      <c r="A296">
        <v>294</v>
      </c>
      <c r="B296">
        <v>1.2106101024012199E-16</v>
      </c>
      <c r="C296">
        <v>8.7636206084413395E-5</v>
      </c>
      <c r="D296">
        <v>2.3882679062891799E-14</v>
      </c>
      <c r="E296">
        <v>3.5654659179015601E-4</v>
      </c>
    </row>
    <row r="297" spans="1:5">
      <c r="A297">
        <v>295</v>
      </c>
      <c r="B297">
        <v>1.04235315820449E-16</v>
      </c>
      <c r="C297">
        <v>8.4625364688496995E-5</v>
      </c>
      <c r="D297">
        <v>2.0563339012463499E-14</v>
      </c>
      <c r="E297">
        <v>3.4429702866894198E-4</v>
      </c>
    </row>
    <row r="298" spans="1:5">
      <c r="A298">
        <v>296</v>
      </c>
      <c r="B298">
        <v>8.9739036809373299E-17</v>
      </c>
      <c r="C298">
        <v>8.17169955760178E-5</v>
      </c>
      <c r="D298">
        <v>1.77035414728515E-14</v>
      </c>
      <c r="E298">
        <v>3.32464372498006E-4</v>
      </c>
    </row>
    <row r="299" spans="1:5">
      <c r="A299">
        <v>297</v>
      </c>
      <c r="B299">
        <v>7.7250974138735501E-17</v>
      </c>
      <c r="C299">
        <v>7.8907647627004103E-5</v>
      </c>
      <c r="D299">
        <v>1.52399209207963E-14</v>
      </c>
      <c r="E299">
        <v>3.2103458244743402E-4</v>
      </c>
    </row>
    <row r="300" spans="1:5">
      <c r="A300">
        <v>298</v>
      </c>
      <c r="B300">
        <v>6.6494034952079298E-17</v>
      </c>
      <c r="C300">
        <v>7.6193984576382995E-5</v>
      </c>
      <c r="D300">
        <v>1.31178130201239E-14</v>
      </c>
      <c r="E300">
        <v>3.0999408497274999E-4</v>
      </c>
    </row>
    <row r="301" spans="1:5">
      <c r="A301">
        <v>299</v>
      </c>
      <c r="B301">
        <v>5.7229201950505098E-17</v>
      </c>
      <c r="C301">
        <v>7.3572781243408906E-5</v>
      </c>
      <c r="D301">
        <v>1.12900649061027E-14</v>
      </c>
      <c r="E301">
        <v>2.9932975847440002E-4</v>
      </c>
    </row>
    <row r="302" spans="1:5">
      <c r="A302">
        <v>300</v>
      </c>
      <c r="B302">
        <v>4.9250323666742402E-17</v>
      </c>
      <c r="C302">
        <v>7.1040919882914806E-5</v>
      </c>
      <c r="D302">
        <v>9.7160074209138602E-15</v>
      </c>
      <c r="E302">
        <v>2.8902891845287E-4</v>
      </c>
    </row>
    <row r="303" spans="1:5">
      <c r="A303">
        <v>301</v>
      </c>
      <c r="B303">
        <v>4.2379614429135998E-17</v>
      </c>
      <c r="C303">
        <v>6.8595386654521595E-5</v>
      </c>
      <c r="D303">
        <v>8.3605673553574295E-15</v>
      </c>
      <c r="E303">
        <v>2.7907930314372101E-4</v>
      </c>
    </row>
    <row r="304" spans="1:5">
      <c r="A304">
        <v>302</v>
      </c>
      <c r="B304">
        <v>3.64637677788909E-17</v>
      </c>
      <c r="C304">
        <v>6.6233268206065702E-5</v>
      </c>
      <c r="D304">
        <v>7.1935007114160902E-15</v>
      </c>
      <c r="E304">
        <v>2.6946905961731401E-4</v>
      </c>
    </row>
    <row r="305" spans="1:5">
      <c r="A305">
        <v>303</v>
      </c>
      <c r="B305">
        <v>3.1370600092404999E-17</v>
      </c>
      <c r="C305">
        <v>6.39517483676187E-5</v>
      </c>
      <c r="D305">
        <v>6.1887305626409602E-15</v>
      </c>
      <c r="E305">
        <v>2.6018673032847698E-4</v>
      </c>
    </row>
    <row r="306" spans="1:5">
      <c r="A306">
        <v>304</v>
      </c>
      <c r="B306">
        <v>2.69861524046076E-17</v>
      </c>
      <c r="C306">
        <v>6.1748104952585596E-5</v>
      </c>
      <c r="D306">
        <v>5.3237753075344097E-15</v>
      </c>
      <c r="E306">
        <v>2.5122124010182301E-4</v>
      </c>
    </row>
    <row r="307" spans="1:5">
      <c r="A307">
        <v>305</v>
      </c>
      <c r="B307">
        <v>2.32121881620118E-17</v>
      </c>
      <c r="C307">
        <v>5.9619706662479001E-5</v>
      </c>
      <c r="D307">
        <v>4.57925503117151E-15</v>
      </c>
      <c r="E307">
        <v>2.4256188353886899E-4</v>
      </c>
    </row>
    <row r="308" spans="1:5">
      <c r="A308">
        <v>306</v>
      </c>
      <c r="B308">
        <v>1.99640330577446E-17</v>
      </c>
      <c r="C308">
        <v>5.7564010092068897E-5</v>
      </c>
      <c r="D308">
        <v>3.9384653520845897E-15</v>
      </c>
      <c r="E308">
        <v>2.34198312833532E-4</v>
      </c>
    </row>
    <row r="309" spans="1:5">
      <c r="A309">
        <v>307</v>
      </c>
      <c r="B309">
        <v>1.71687103904368E-17</v>
      </c>
      <c r="C309">
        <v>5.55785568317123E-5</v>
      </c>
      <c r="D309">
        <v>3.3870095695157501E-15</v>
      </c>
      <c r="E309">
        <v>2.2612052598300399E-4</v>
      </c>
    </row>
    <row r="310" spans="1:5">
      <c r="A310">
        <v>308</v>
      </c>
      <c r="B310">
        <v>1.4763331696337201E-17</v>
      </c>
      <c r="C310">
        <v>5.3660970663769703E-5</v>
      </c>
      <c r="D310">
        <v>2.91248117047172E-15</v>
      </c>
      <c r="E310">
        <v>2.18318855381412E-4</v>
      </c>
    </row>
    <row r="311" spans="1:5">
      <c r="A311">
        <v>309</v>
      </c>
      <c r="B311">
        <v>1.2693707861094399E-17</v>
      </c>
      <c r="C311">
        <v>5.1808954850103698E-5</v>
      </c>
      <c r="D311">
        <v>2.5041898325754402E-15</v>
      </c>
      <c r="E311">
        <v>2.1078395678404401E-4</v>
      </c>
    </row>
    <row r="312" spans="1:5">
      <c r="A312">
        <v>310</v>
      </c>
      <c r="B312">
        <v>1.09131506383712E-17</v>
      </c>
      <c r="C312">
        <v>5.0020289507756803E-5</v>
      </c>
      <c r="D312">
        <v>2.1529249900050299E-15</v>
      </c>
      <c r="E312">
        <v>2.03506798630339E-4</v>
      </c>
    </row>
    <row r="313" spans="1:5">
      <c r="A313">
        <v>311</v>
      </c>
      <c r="B313">
        <v>9.3814385857055593E-18</v>
      </c>
      <c r="C313">
        <v>4.82928290699917E-5</v>
      </c>
      <c r="D313">
        <v>1.8507518353450801E-15</v>
      </c>
      <c r="E313">
        <v>1.9647865171416401E-4</v>
      </c>
    </row>
    <row r="314" spans="1:5">
      <c r="A314">
        <v>312</v>
      </c>
      <c r="B314">
        <v>8.0639249594731901E-18</v>
      </c>
      <c r="C314">
        <v>4.66244998299662E-5</v>
      </c>
      <c r="D314">
        <v>1.5908353268517E-15</v>
      </c>
      <c r="E314">
        <v>1.8969107919029199E-4</v>
      </c>
    </row>
    <row r="315" spans="1:5">
      <c r="A315">
        <v>313</v>
      </c>
      <c r="B315">
        <v>6.9307681646399197E-18</v>
      </c>
      <c r="C315">
        <v>4.5013297564401299E-5</v>
      </c>
      <c r="D315">
        <v>1.36728837308632E-15</v>
      </c>
      <c r="E315">
        <v>1.8313592690633301E-4</v>
      </c>
    </row>
    <row r="316" spans="1:5">
      <c r="A316">
        <v>314</v>
      </c>
      <c r="B316">
        <v>5.9562679954988897E-18</v>
      </c>
      <c r="C316">
        <v>4.34572852346817E-5</v>
      </c>
      <c r="D316">
        <v>1.17504088778807E-15</v>
      </c>
      <c r="E316">
        <v>1.76805314049694E-4</v>
      </c>
    </row>
    <row r="317" spans="1:5">
      <c r="A317">
        <v>315</v>
      </c>
      <c r="B317">
        <v>5.1182931864476997E-18</v>
      </c>
      <c r="C317">
        <v>4.1954590762909097E-5</v>
      </c>
      <c r="D317">
        <v>1.0097268582118901E-15</v>
      </c>
      <c r="E317">
        <v>1.7069162409948899E-4</v>
      </c>
    </row>
    <row r="318" spans="1:5">
      <c r="A318">
        <v>316</v>
      </c>
      <c r="B318">
        <v>4.3977877652700799E-18</v>
      </c>
      <c r="C318">
        <v>4.0503404880508997E-5</v>
      </c>
      <c r="D318">
        <v>8.6758695947052496E-16</v>
      </c>
      <c r="E318">
        <v>1.6478749607361999E-4</v>
      </c>
    </row>
    <row r="319" spans="1:5">
      <c r="A319">
        <v>317</v>
      </c>
      <c r="B319">
        <v>3.7783454071067499E-18</v>
      </c>
      <c r="C319">
        <v>3.9101979047060502E-5</v>
      </c>
      <c r="D319">
        <v>7.4538458391928596E-16</v>
      </c>
      <c r="E319">
        <v>1.5908581606157801E-4</v>
      </c>
    </row>
    <row r="320" spans="1:5">
      <c r="A320">
        <v>318</v>
      </c>
      <c r="B320">
        <v>3.2458424614595701E-18</v>
      </c>
      <c r="C320">
        <v>3.7748623437099802E-5</v>
      </c>
      <c r="D320">
        <v>6.4033344544199301E-16</v>
      </c>
      <c r="E320">
        <v>1.5357970903377301E-4</v>
      </c>
    </row>
    <row r="321" spans="1:5">
      <c r="A321">
        <v>319</v>
      </c>
      <c r="B321">
        <v>2.7881215984624602E-18</v>
      </c>
      <c r="C321">
        <v>3.6441704992711397E-5</v>
      </c>
      <c r="D321">
        <v>5.5003516980669904E-16</v>
      </c>
      <c r="E321">
        <v>1.48262530918537E-4</v>
      </c>
    </row>
    <row r="322" spans="1:5">
      <c r="A322">
        <v>320</v>
      </c>
      <c r="B322">
        <v>2.39471912135255E-18</v>
      </c>
      <c r="C322">
        <v>3.5179645539795802E-5</v>
      </c>
      <c r="D322">
        <v>4.7242549940392495E-16</v>
      </c>
      <c r="E322">
        <v>1.43127860938184E-4</v>
      </c>
    </row>
    <row r="323" spans="1:5">
      <c r="A323">
        <v>321</v>
      </c>
      <c r="B323">
        <v>2.0566299430184E-18</v>
      </c>
      <c r="C323">
        <v>3.39609199659654E-5</v>
      </c>
      <c r="D323">
        <v>4.0572792828027599E-16</v>
      </c>
      <c r="E323">
        <v>1.3816949419581101E-4</v>
      </c>
    </row>
    <row r="324" spans="1:5">
      <c r="A324">
        <v>322</v>
      </c>
      <c r="B324">
        <v>1.7661050459717001E-18</v>
      </c>
      <c r="C324">
        <v>3.2784054458084502E-5</v>
      </c>
      <c r="D324">
        <v>3.4841374543822199E-16</v>
      </c>
      <c r="E324">
        <v>1.3338143450475001E-4</v>
      </c>
    </row>
    <row r="325" spans="1:5">
      <c r="A325">
        <v>323</v>
      </c>
      <c r="B325">
        <v>1.5164769546286999E-18</v>
      </c>
      <c r="C325">
        <v>3.16476247975353E-5</v>
      </c>
      <c r="D325">
        <v>2.9916760434951001E-16</v>
      </c>
      <c r="E325">
        <v>1.2875788745288699E-4</v>
      </c>
    </row>
    <row r="326" spans="1:5">
      <c r="A326">
        <v>324</v>
      </c>
      <c r="B326">
        <v>1.3020093615811401E-18</v>
      </c>
      <c r="C326">
        <v>3.0550254711348703E-5</v>
      </c>
      <c r="D326">
        <v>2.5685785752031799E-16</v>
      </c>
      <c r="E326">
        <v>1.24293253694261E-4</v>
      </c>
    </row>
    <row r="327" spans="1:5">
      <c r="A327">
        <v>325</v>
      </c>
      <c r="B327">
        <v>1.1177675787123E-18</v>
      </c>
      <c r="C327">
        <v>2.9490614277399401E-5</v>
      </c>
      <c r="D327">
        <v>2.2051099934109301E-16</v>
      </c>
      <c r="E327">
        <v>1.19982122460628E-4</v>
      </c>
    </row>
    <row r="328" spans="1:5">
      <c r="A328">
        <v>326</v>
      </c>
      <c r="B328">
        <v>9.5950694093116395E-19</v>
      </c>
      <c r="C328">
        <v>2.8467418381920699E-5</v>
      </c>
      <c r="D328">
        <v>1.89289650593725E-16</v>
      </c>
      <c r="E328">
        <v>1.15819265285875E-4</v>
      </c>
    </row>
    <row r="329" spans="1:5">
      <c r="A329">
        <v>327</v>
      </c>
      <c r="B329">
        <v>8.2357668477780204E-19</v>
      </c>
      <c r="C329">
        <v>2.7479425227651599E-5</v>
      </c>
      <c r="D329">
        <v>1.62473595811031E-16</v>
      </c>
      <c r="E329">
        <v>1.11799629936447E-4</v>
      </c>
    </row>
    <row r="330" spans="1:5">
      <c r="A330">
        <v>328</v>
      </c>
      <c r="B330">
        <v>7.0683716468991698E-19</v>
      </c>
      <c r="C330">
        <v>2.6525434890978699E-5</v>
      </c>
      <c r="D330">
        <v>1.39443451863901E-16</v>
      </c>
      <c r="E330">
        <v>1.07918334541096E-4</v>
      </c>
    </row>
    <row r="331" spans="1:5">
      <c r="A331">
        <v>329</v>
      </c>
      <c r="B331">
        <v>6.0658856365705702E-19</v>
      </c>
      <c r="C331">
        <v>2.56042879264914E-5</v>
      </c>
      <c r="D331">
        <v>1.1966660413875201E-16</v>
      </c>
      <c r="E331">
        <v>1.04170661913536E-4</v>
      </c>
    </row>
    <row r="332" spans="1:5">
      <c r="A332">
        <v>330</v>
      </c>
      <c r="B332">
        <v>5.2050950867352895E-19</v>
      </c>
      <c r="C332">
        <v>2.47148640174145E-5</v>
      </c>
      <c r="D332">
        <v>1.02685096714264E-16</v>
      </c>
      <c r="E332">
        <v>1.00552054061747E-4</v>
      </c>
    </row>
    <row r="333" spans="1:5">
      <c r="A333">
        <v>331</v>
      </c>
      <c r="B333">
        <v>4.4660422032167199E-19</v>
      </c>
      <c r="C333">
        <v>2.38560806704365E-5</v>
      </c>
      <c r="D333">
        <v>8.8105206134655005E-17</v>
      </c>
      <c r="E333">
        <v>9.70581068779057E-5</v>
      </c>
    </row>
    <row r="334" spans="1:5">
      <c r="A334">
        <v>332</v>
      </c>
      <c r="B334">
        <v>3.8315701471598001E-19</v>
      </c>
      <c r="C334">
        <v>2.3026891953493801E-5</v>
      </c>
      <c r="D334">
        <v>7.5588465642299095E-17</v>
      </c>
      <c r="E334">
        <v>9.3684565003078401E-5</v>
      </c>
    </row>
    <row r="335" spans="1:5">
      <c r="A335">
        <v>333</v>
      </c>
      <c r="B335">
        <v>3.28693139015223E-19</v>
      </c>
      <c r="C335">
        <v>2.22262872751194E-5</v>
      </c>
      <c r="D335">
        <v>6.4843938884242004E-17</v>
      </c>
      <c r="E335">
        <v>9.0427316861018103E-5</v>
      </c>
    </row>
    <row r="336" spans="1:5">
      <c r="A336">
        <v>334</v>
      </c>
      <c r="B336">
        <v>2.81945062305022E-19</v>
      </c>
      <c r="C336">
        <v>2.14532902040084E-5</v>
      </c>
      <c r="D336">
        <v>5.5621569843518697E-17</v>
      </c>
      <c r="E336">
        <v>8.7282389855587004E-5</v>
      </c>
    </row>
    <row r="337" spans="1:5">
      <c r="A337">
        <v>335</v>
      </c>
      <c r="B337">
        <v>2.4182346492825601E-19</v>
      </c>
      <c r="C337">
        <v>2.0706957327496899E-5</v>
      </c>
      <c r="D337">
        <v>4.77064596710588E-17</v>
      </c>
      <c r="E337">
        <v>8.4245945726492795E-5</v>
      </c>
    </row>
    <row r="338" spans="1:5">
      <c r="A338">
        <v>336</v>
      </c>
      <c r="B338">
        <v>2.0739227393800801E-19</v>
      </c>
      <c r="C338">
        <v>1.9986377147688701E-5</v>
      </c>
      <c r="D338">
        <v>4.0913941728723902E-17</v>
      </c>
      <c r="E338">
        <v>8.1314276058197204E-5</v>
      </c>
    </row>
    <row r="339" spans="1:5">
      <c r="A339">
        <v>337</v>
      </c>
      <c r="B339">
        <v>1.77847182551354E-19</v>
      </c>
      <c r="C339">
        <v>1.9290669014008698E-5</v>
      </c>
      <c r="D339">
        <v>3.5085343949210102E-17</v>
      </c>
      <c r="E339">
        <v>7.8483797937027298E-5</v>
      </c>
    </row>
    <row r="340" spans="1:5">
      <c r="A340">
        <v>338</v>
      </c>
      <c r="B340">
        <v>1.5249716926440901E-19</v>
      </c>
      <c r="C340">
        <v>1.8618982090999199E-5</v>
      </c>
      <c r="D340">
        <v>3.0084342963250198E-17</v>
      </c>
      <c r="E340">
        <v>7.5751049751666695E-5</v>
      </c>
    </row>
    <row r="341" spans="1:5">
      <c r="A341">
        <v>339</v>
      </c>
      <c r="B341">
        <v>1.3074859935259701E-19</v>
      </c>
      <c r="C341">
        <v>1.7970494360210699E-5</v>
      </c>
      <c r="D341">
        <v>2.5793827674715801E-17</v>
      </c>
      <c r="E341">
        <v>7.3112687132366794E-5</v>
      </c>
    </row>
    <row r="342" spans="1:5">
      <c r="A342">
        <v>340</v>
      </c>
      <c r="B342">
        <v>1.1209154929605801E-19</v>
      </c>
      <c r="C342">
        <v>1.7344411655081302E-5</v>
      </c>
      <c r="D342">
        <v>2.21132013700382E-17</v>
      </c>
      <c r="E342">
        <v>7.0565479024366099E-5</v>
      </c>
    </row>
    <row r="343" spans="1:5">
      <c r="A343">
        <v>341</v>
      </c>
      <c r="B343">
        <v>9.6088044508115405E-20</v>
      </c>
      <c r="C343">
        <v>1.67399667277274E-5</v>
      </c>
      <c r="D343">
        <v>1.8956061280311599E-17</v>
      </c>
      <c r="E343">
        <v>6.8106303891142002E-5</v>
      </c>
    </row>
    <row r="344" spans="1:5">
      <c r="A344">
        <v>342</v>
      </c>
      <c r="B344">
        <v>8.2361943700993197E-20</v>
      </c>
      <c r="C344">
        <v>1.6156418346607399E-5</v>
      </c>
      <c r="D344">
        <v>1.6248202988767699E-17</v>
      </c>
      <c r="E344">
        <v>6.5732146043270603E-5</v>
      </c>
    </row>
    <row r="345" spans="1:5">
      <c r="A345">
        <v>343</v>
      </c>
      <c r="B345">
        <v>7.0590240243840901E-20</v>
      </c>
      <c r="C345">
        <v>1.5593050424052599E-5</v>
      </c>
      <c r="D345">
        <v>1.3925904379718701E-17</v>
      </c>
      <c r="E345">
        <v>6.3440092088797406E-5</v>
      </c>
    </row>
    <row r="346" spans="1:5">
      <c r="A346">
        <v>344</v>
      </c>
      <c r="B346">
        <v>6.04955827700935E-20</v>
      </c>
      <c r="C346">
        <v>1.50491711726898E-5</v>
      </c>
      <c r="D346">
        <v>1.19344501186222E-17</v>
      </c>
      <c r="E346">
        <v>6.1227327501156594E-5</v>
      </c>
    </row>
    <row r="347" spans="1:5">
      <c r="A347">
        <v>345</v>
      </c>
      <c r="B347">
        <v>5.1839844779325999E-20</v>
      </c>
      <c r="C347">
        <v>1.45241122898135E-5</v>
      </c>
      <c r="D347">
        <v>1.02268630757258E-17</v>
      </c>
      <c r="E347">
        <v>5.9091133300800703E-5</v>
      </c>
    </row>
    <row r="348" spans="1:5">
      <c r="A348">
        <v>346</v>
      </c>
      <c r="B348">
        <v>4.4418596660995298E-20</v>
      </c>
      <c r="C348">
        <v>1.40172281687946E-5</v>
      </c>
      <c r="D348">
        <v>8.7628137777344296E-18</v>
      </c>
      <c r="E348">
        <v>5.7028882846830299E-5</v>
      </c>
    </row>
    <row r="349" spans="1:5">
      <c r="A349">
        <v>347</v>
      </c>
      <c r="B349">
        <v>3.80563539687327E-20</v>
      </c>
      <c r="C349">
        <v>1.35278951366432E-5</v>
      </c>
      <c r="D349">
        <v>7.5076829966666693E-18</v>
      </c>
      <c r="E349">
        <v>5.5038038735027098E-5</v>
      </c>
    </row>
    <row r="350" spans="1:5">
      <c r="A350">
        <v>348</v>
      </c>
      <c r="B350">
        <v>3.26024933466984E-20</v>
      </c>
      <c r="C350">
        <v>1.3055510716868599E-5</v>
      </c>
      <c r="D350">
        <v>6.4317560518027799E-18</v>
      </c>
      <c r="E350">
        <v>5.3116149798813203E-5</v>
      </c>
    </row>
    <row r="351" spans="1:5">
      <c r="A351">
        <v>349</v>
      </c>
      <c r="B351">
        <v>2.7927742644593301E-20</v>
      </c>
      <c r="C351">
        <v>1.2599492916811E-5</v>
      </c>
      <c r="D351">
        <v>5.5095303864464598E-18</v>
      </c>
      <c r="E351">
        <v>5.1260848209769499E-5</v>
      </c>
    </row>
    <row r="352" spans="1:5">
      <c r="A352">
        <v>350</v>
      </c>
      <c r="B352">
        <v>2.392116479192E-20</v>
      </c>
      <c r="C352">
        <v>1.21592795386426E-5</v>
      </c>
      <c r="D352">
        <v>4.7191205525446203E-18</v>
      </c>
      <c r="E352">
        <v>4.9469846674454298E-5</v>
      </c>
    </row>
    <row r="353" spans="1:5">
      <c r="A353">
        <v>351</v>
      </c>
      <c r="B353">
        <v>2.0487566225565401E-20</v>
      </c>
      <c r="C353">
        <v>1.17343275132635E-5</v>
      </c>
      <c r="D353">
        <v>4.0417469503550897E-18</v>
      </c>
      <c r="E353">
        <v>4.7740935724369103E-5</v>
      </c>
    </row>
    <row r="354" spans="1:5">
      <c r="A354">
        <v>352</v>
      </c>
      <c r="B354">
        <v>1.7545270328187001E-20</v>
      </c>
      <c r="C354">
        <v>1.1324112256342101E-5</v>
      </c>
      <c r="D354">
        <v>3.46129657673132E-18</v>
      </c>
      <c r="E354">
        <v>4.6071981096019103E-5</v>
      </c>
    </row>
    <row r="355" spans="1:5">
      <c r="A355">
        <v>353</v>
      </c>
      <c r="B355">
        <v>1.5024204654211E-20</v>
      </c>
      <c r="C355">
        <v>1.0928127045774901E-5</v>
      </c>
      <c r="D355">
        <v>2.9639456768122001E-18</v>
      </c>
      <c r="E355">
        <v>4.4460921198115E-5</v>
      </c>
    </row>
    <row r="356" spans="1:5">
      <c r="A356">
        <v>354</v>
      </c>
      <c r="B356">
        <v>1.28642578816865E-20</v>
      </c>
      <c r="C356">
        <v>1.0545882419860701E-5</v>
      </c>
      <c r="D356">
        <v>2.5378356067011601E-18</v>
      </c>
      <c r="E356">
        <v>4.2905764663057601E-5</v>
      </c>
    </row>
    <row r="357" spans="1:5">
      <c r="A357">
        <v>355</v>
      </c>
      <c r="B357">
        <v>1.10138685923068E-20</v>
      </c>
      <c r="C357">
        <v>1.01769055955124E-5</v>
      </c>
      <c r="D357">
        <v>2.17279443075183E-18</v>
      </c>
      <c r="E357">
        <v>4.1404587979938601E-5</v>
      </c>
    </row>
    <row r="358" spans="1:5">
      <c r="A358">
        <v>356</v>
      </c>
      <c r="B358">
        <v>9.4288132869503601E-21</v>
      </c>
      <c r="C358">
        <v>9.8207399058464299E-6</v>
      </c>
      <c r="D358">
        <v>1.8600978236470601E-18</v>
      </c>
      <c r="E358">
        <v>3.9955533206382103E-5</v>
      </c>
    </row>
    <row r="359" spans="1:5">
      <c r="A359">
        <v>357</v>
      </c>
      <c r="B359">
        <v>8.0711656093606394E-21</v>
      </c>
      <c r="C359">
        <v>9.4769442565133802E-6</v>
      </c>
      <c r="D359">
        <v>1.59226374808431E-18</v>
      </c>
      <c r="E359">
        <v>3.8556805756634803E-5</v>
      </c>
    </row>
    <row r="360" spans="1:5">
      <c r="A360">
        <v>358</v>
      </c>
      <c r="B360">
        <v>6.9084026788164397E-21</v>
      </c>
      <c r="C360">
        <v>9.1450926001544202E-6</v>
      </c>
      <c r="D360">
        <v>1.3628761538346501E-18</v>
      </c>
      <c r="E360">
        <v>3.7206672263398699E-5</v>
      </c>
    </row>
    <row r="361" spans="1:5">
      <c r="A361">
        <v>359</v>
      </c>
      <c r="B361">
        <v>5.9126378123989397E-21</v>
      </c>
      <c r="C361">
        <v>8.8247734283867793E-6</v>
      </c>
      <c r="D361">
        <v>1.1664336106939501E-18</v>
      </c>
      <c r="E361">
        <v>3.5903458510982401E-5</v>
      </c>
    </row>
    <row r="362" spans="1:5">
      <c r="A362">
        <v>360</v>
      </c>
      <c r="B362">
        <v>5.0599618250094E-21</v>
      </c>
      <c r="C362">
        <v>8.5155892807416404E-6</v>
      </c>
      <c r="D362">
        <v>9.9821936144006593E-19</v>
      </c>
      <c r="E362">
        <v>3.4645547437421801E-5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D354-C52E-4A46-AD46-491C268B29E9}">
  <dimension ref="A1:AB363"/>
  <sheetViews>
    <sheetView topLeftCell="D1" zoomScaleNormal="100" workbookViewId="0">
      <pane ySplit="2" topLeftCell="A3" activePane="bottomLeft" state="frozen"/>
      <selection pane="bottomLeft" activeCell="Y10" sqref="Y10"/>
    </sheetView>
  </sheetViews>
  <sheetFormatPr baseColWidth="10" defaultColWidth="15.83203125" defaultRowHeight="16"/>
  <cols>
    <col min="4" max="4" width="15.83203125" style="21"/>
    <col min="7" max="7" width="15.83203125" style="22"/>
    <col min="8" max="8" width="15.83203125" style="21"/>
    <col min="10" max="10" width="15.83203125" style="22"/>
    <col min="20" max="20" width="23.5" customWidth="1"/>
    <col min="24" max="24" width="11" customWidth="1"/>
    <col min="27" max="27" width="11.1640625" customWidth="1"/>
  </cols>
  <sheetData>
    <row r="1" spans="1:28" ht="17">
      <c r="A1" s="7" t="s">
        <v>21</v>
      </c>
      <c r="B1" t="s">
        <v>72</v>
      </c>
      <c r="C1" t="s">
        <v>73</v>
      </c>
      <c r="D1" s="21" t="s">
        <v>144</v>
      </c>
      <c r="E1" t="s">
        <v>135</v>
      </c>
      <c r="F1" t="s">
        <v>140</v>
      </c>
      <c r="G1" s="22" t="s">
        <v>145</v>
      </c>
      <c r="H1" s="21" t="s">
        <v>74</v>
      </c>
      <c r="I1" t="s">
        <v>143</v>
      </c>
      <c r="J1" s="22" t="s">
        <v>147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s="2" t="s">
        <v>99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</row>
    <row r="2" spans="1:28">
      <c r="A2" t="s">
        <v>22</v>
      </c>
      <c r="B2" t="s">
        <v>24</v>
      </c>
      <c r="C2" t="s">
        <v>45</v>
      </c>
      <c r="D2" s="21" t="s">
        <v>39</v>
      </c>
      <c r="E2" t="s">
        <v>61</v>
      </c>
      <c r="F2" t="s">
        <v>141</v>
      </c>
      <c r="G2" s="22" t="s">
        <v>146</v>
      </c>
      <c r="H2" s="21" t="s">
        <v>148</v>
      </c>
      <c r="I2" t="s">
        <v>142</v>
      </c>
      <c r="J2" s="22" t="s">
        <v>149</v>
      </c>
      <c r="K2" t="s">
        <v>40</v>
      </c>
      <c r="L2" t="s">
        <v>41</v>
      </c>
      <c r="M2" t="s">
        <v>42</v>
      </c>
      <c r="N2" t="s">
        <v>43</v>
      </c>
      <c r="O2" t="s">
        <v>46</v>
      </c>
      <c r="P2" t="s">
        <v>47</v>
      </c>
      <c r="Q2" t="s">
        <v>48</v>
      </c>
      <c r="R2" s="2" t="s">
        <v>101</v>
      </c>
      <c r="S2" t="s">
        <v>49</v>
      </c>
      <c r="T2" t="s">
        <v>50</v>
      </c>
      <c r="U2" t="s">
        <v>63</v>
      </c>
      <c r="V2" t="s">
        <v>51</v>
      </c>
      <c r="W2" t="s">
        <v>52</v>
      </c>
    </row>
    <row r="3" spans="1:28">
      <c r="A3">
        <v>0</v>
      </c>
      <c r="B3">
        <f>(start_age*12+A3)/12</f>
        <v>65</v>
      </c>
      <c r="C3">
        <f>1/(1+Disc_rate_per_cyc)^$A3</f>
        <v>1</v>
      </c>
      <c r="D3" s="21" cm="1">
        <f t="array" ref="D3:D363">_xlfn.XLOOKUP(A3:A363,'RRMM_Model_Inputs'!A2:A362,'RRMM_Model_Inputs'!B2:B362)</f>
        <v>1</v>
      </c>
      <c r="G3" s="22">
        <v>1</v>
      </c>
      <c r="H3" s="21" cm="1">
        <f t="array" ref="H3:H363">_xlfn.XLOOKUP(A3:A363,'RRMM_Model_Inputs'!A2:A362,'RRMM_Model_Inputs'!C2:C362)</f>
        <v>1</v>
      </c>
      <c r="J3" s="22">
        <v>1</v>
      </c>
      <c r="N3">
        <v>1</v>
      </c>
      <c r="O3" cm="1">
        <f t="array" ref="O3:O363">soc_PFS_Prob_psa_adj</f>
        <v>1</v>
      </c>
      <c r="Q3">
        <f>1-N3</f>
        <v>0</v>
      </c>
      <c r="R3">
        <f>SUM(O3:Q3)</f>
        <v>1</v>
      </c>
      <c r="S3">
        <v>2200</v>
      </c>
      <c r="T3">
        <v>0</v>
      </c>
      <c r="U3">
        <v>2200</v>
      </c>
      <c r="V3">
        <v>0</v>
      </c>
      <c r="W3">
        <f>V3/2</f>
        <v>0</v>
      </c>
      <c r="Y3" t="s">
        <v>160</v>
      </c>
      <c r="Z3" cm="1">
        <f t="array" ref="Z3">SUMPRODUCT(W3:W363*C3:C363)</f>
        <v>20.251463297385786</v>
      </c>
      <c r="AA3" t="s">
        <v>162</v>
      </c>
      <c r="AB3">
        <f>Z3/12</f>
        <v>1.6876219414488156</v>
      </c>
    </row>
    <row r="4" spans="1:28">
      <c r="A4">
        <v>1</v>
      </c>
      <c r="B4">
        <f t="shared" ref="B4:B66" si="0">(start_age*12+A4)/12</f>
        <v>65.083333333333329</v>
      </c>
      <c r="C4">
        <f t="shared" ref="C4:C66" si="1">1/(1+Disc_rate_per_cyc)^$A4</f>
        <v>0.99713731974599773</v>
      </c>
      <c r="D4" s="21">
        <v>0.96078943915232295</v>
      </c>
      <c r="E4">
        <f>1-D4/D3</f>
        <v>3.9210560847677045E-2</v>
      </c>
      <c r="F4">
        <f t="shared" ref="F4:F67" si="2">-LN(D4/D3)*PSA_SocHRsclr_pfs_VtUs</f>
        <v>4.0000000000000265E-2</v>
      </c>
      <c r="G4" s="22">
        <f>G3*EXP(-F4)</f>
        <v>0.96078943915232295</v>
      </c>
      <c r="H4" s="21">
        <v>0.98216103235830099</v>
      </c>
      <c r="I4">
        <f t="shared" ref="I4:I67" si="3">-LN(H4/H3)*PSA_SocHRsclr_os_VtUs</f>
        <v>1.7999999999999725E-2</v>
      </c>
      <c r="J4" s="22">
        <f>J3*EXP(-I4)</f>
        <v>0.98216103235830099</v>
      </c>
      <c r="K4">
        <f>1-(J4/J3)</f>
        <v>1.7838967641699011E-2</v>
      </c>
      <c r="L4" cm="1">
        <f t="array" ref="L4:L363">_xlfn.XLOOKUP(B4:B363,DATA_ONS!A7:A107,DATA_ONS!P7:P107,,-1)</f>
        <v>8.3095383084330621E-4</v>
      </c>
      <c r="M4">
        <f t="shared" ref="M4:M67" si="4">MAX(K4:L4)</f>
        <v>1.7838967641699011E-2</v>
      </c>
      <c r="N4">
        <f>N3*(1-M4)</f>
        <v>0.98216103235830099</v>
      </c>
      <c r="O4">
        <v>0.96078943915232295</v>
      </c>
      <c r="P4">
        <f>N4-O4</f>
        <v>2.1371593205978034E-2</v>
      </c>
      <c r="Q4">
        <f t="shared" ref="Q4:Q67" si="5">1-N4</f>
        <v>1.7838967641699011E-2</v>
      </c>
      <c r="R4">
        <f t="shared" ref="R4:R67" si="6">SUM(O4:Q4)</f>
        <v>1</v>
      </c>
      <c r="S4" cm="1">
        <f t="array" ref="S4:S363">soc_pfs_stt*(soc_price+Mntr_Adm_cst_VtUs)</f>
        <v>2305.8946539655749</v>
      </c>
      <c r="T4" cm="1">
        <f t="array" ref="T4:T363">(Subsq_PD_cst_VtUs+Mntr_Adm_cst_VtUs)*soc_pd_stt</f>
        <v>22.440172866276935</v>
      </c>
      <c r="U4">
        <f>(S3+T3+S4+T4)/2</f>
        <v>2264.1674134159261</v>
      </c>
      <c r="V4" cm="1">
        <f t="array" ref="V4:V363">pfs_ulty_VtUs*soc_pfs_stt+pd_ulty_VtUs*soc_pd_stt</f>
        <v>0.760101559141801</v>
      </c>
      <c r="W4">
        <f>(V3+V4)/2</f>
        <v>0.3800507795709005</v>
      </c>
      <c r="Y4" t="s">
        <v>161</v>
      </c>
      <c r="Z4" cm="1">
        <f t="array" ref="Z4">SUMPRODUCT(U3:U363*C3:C363)</f>
        <v>55570.463082435548</v>
      </c>
    </row>
    <row r="5" spans="1:28">
      <c r="A5">
        <v>2</v>
      </c>
      <c r="B5">
        <f t="shared" si="0"/>
        <v>65.166666666666671</v>
      </c>
      <c r="C5">
        <f t="shared" si="1"/>
        <v>0.99428283443023213</v>
      </c>
      <c r="D5" s="21">
        <v>0.91220013345922502</v>
      </c>
      <c r="E5">
        <f t="shared" ref="E5:E68" si="7">1-D5/D4</f>
        <v>5.0572272875903934E-2</v>
      </c>
      <c r="F5">
        <f t="shared" si="2"/>
        <v>5.1895868399762318E-2</v>
      </c>
      <c r="G5" s="22">
        <f t="shared" ref="G5:G68" si="8">G4*EXP(-F5)</f>
        <v>0.91220013345922502</v>
      </c>
      <c r="H5" s="21">
        <v>0.962151030140172</v>
      </c>
      <c r="I5">
        <f t="shared" si="3"/>
        <v>2.0583844651306415E-2</v>
      </c>
      <c r="J5" s="22">
        <f t="shared" ref="J5:J68" si="9">J4*EXP(-I5)</f>
        <v>0.962151030140172</v>
      </c>
      <c r="K5">
        <f t="shared" ref="K5:K68" si="10">1-(J5/J4)</f>
        <v>2.0373443415976578E-2</v>
      </c>
      <c r="L5">
        <v>8.3095383084330621E-4</v>
      </c>
      <c r="M5">
        <f t="shared" si="4"/>
        <v>2.0373443415976578E-2</v>
      </c>
      <c r="N5">
        <f t="shared" ref="N5:N67" si="11">N4*(1-M5)</f>
        <v>0.962151030140172</v>
      </c>
      <c r="O5">
        <v>0.91220013345922502</v>
      </c>
      <c r="P5">
        <f t="shared" ref="P5:P67" si="12">N5-O5</f>
        <v>4.9950896680946988E-2</v>
      </c>
      <c r="Q5">
        <f t="shared" si="5"/>
        <v>3.7848969859827997E-2</v>
      </c>
      <c r="R5">
        <f t="shared" si="6"/>
        <v>1</v>
      </c>
      <c r="S5">
        <v>2189.2803203021399</v>
      </c>
      <c r="T5">
        <v>52.448441514994336</v>
      </c>
      <c r="U5">
        <f t="shared" ref="U5:U68" si="13">(S4+T4+S5+T5)/2</f>
        <v>2285.0317943244931</v>
      </c>
      <c r="V5">
        <v>0.73649155243866904</v>
      </c>
      <c r="W5">
        <f t="shared" ref="W5:W68" si="14">(V4+V5)/2</f>
        <v>0.74829655579023502</v>
      </c>
    </row>
    <row r="6" spans="1:28">
      <c r="A6">
        <v>3</v>
      </c>
      <c r="B6">
        <f t="shared" si="0"/>
        <v>65.25</v>
      </c>
      <c r="C6">
        <f t="shared" si="1"/>
        <v>0.99143652059321519</v>
      </c>
      <c r="D6" s="21">
        <v>0.86114901910465402</v>
      </c>
      <c r="E6">
        <f t="shared" si="7"/>
        <v>5.5964817896897334E-2</v>
      </c>
      <c r="F6">
        <f t="shared" si="2"/>
        <v>5.759184435409935E-2</v>
      </c>
      <c r="G6" s="22">
        <f t="shared" si="8"/>
        <v>0.86114901910465402</v>
      </c>
      <c r="H6" s="21">
        <v>0.94150967818684705</v>
      </c>
      <c r="I6">
        <f t="shared" si="3"/>
        <v>2.1686806746524734E-2</v>
      </c>
      <c r="J6" s="22">
        <f t="shared" si="9"/>
        <v>0.94150967818684705</v>
      </c>
      <c r="K6">
        <f t="shared" si="10"/>
        <v>2.1453338724085502E-2</v>
      </c>
      <c r="L6">
        <v>8.3095383084330621E-4</v>
      </c>
      <c r="M6">
        <f t="shared" si="4"/>
        <v>2.1453338724085502E-2</v>
      </c>
      <c r="N6">
        <f t="shared" si="11"/>
        <v>0.94150967818684705</v>
      </c>
      <c r="O6">
        <v>0.86114901910465402</v>
      </c>
      <c r="P6">
        <f t="shared" si="12"/>
        <v>8.0360659082193031E-2</v>
      </c>
      <c r="Q6">
        <f t="shared" si="5"/>
        <v>5.8490321813152946E-2</v>
      </c>
      <c r="R6">
        <f t="shared" si="6"/>
        <v>1</v>
      </c>
      <c r="S6">
        <v>2066.7576458511699</v>
      </c>
      <c r="T6">
        <v>84.378692036302681</v>
      </c>
      <c r="U6">
        <f t="shared" si="13"/>
        <v>2196.4325498523035</v>
      </c>
      <c r="V6">
        <v>0.71187656444272662</v>
      </c>
      <c r="W6">
        <f t="shared" si="14"/>
        <v>0.72418405844069778</v>
      </c>
    </row>
    <row r="7" spans="1:28">
      <c r="A7">
        <v>4</v>
      </c>
      <c r="B7">
        <f t="shared" si="0"/>
        <v>65.333333333333329</v>
      </c>
      <c r="C7">
        <f t="shared" si="1"/>
        <v>0.98859835484261638</v>
      </c>
      <c r="D7" s="21">
        <v>0.80967587499682803</v>
      </c>
      <c r="E7">
        <f t="shared" si="7"/>
        <v>5.9772632803255288E-2</v>
      </c>
      <c r="F7">
        <f t="shared" si="2"/>
        <v>6.1633552969800623E-2</v>
      </c>
      <c r="G7" s="22">
        <f t="shared" si="8"/>
        <v>0.80967587499682803</v>
      </c>
      <c r="H7" s="21">
        <v>0.92062151102700895</v>
      </c>
      <c r="I7">
        <f t="shared" si="3"/>
        <v>2.2435630161955666E-2</v>
      </c>
      <c r="J7" s="22">
        <f t="shared" si="9"/>
        <v>0.92062151102700895</v>
      </c>
      <c r="K7">
        <f t="shared" si="10"/>
        <v>2.2185823092189971E-2</v>
      </c>
      <c r="L7">
        <v>8.3095383084330621E-4</v>
      </c>
      <c r="M7">
        <f t="shared" si="4"/>
        <v>2.2185823092189971E-2</v>
      </c>
      <c r="N7">
        <f t="shared" si="11"/>
        <v>0.92062151102700895</v>
      </c>
      <c r="O7">
        <v>0.80967587499682803</v>
      </c>
      <c r="P7">
        <f t="shared" si="12"/>
        <v>0.11094563603018093</v>
      </c>
      <c r="Q7">
        <f t="shared" si="5"/>
        <v>7.9378488972991046E-2</v>
      </c>
      <c r="R7">
        <f t="shared" si="6"/>
        <v>1</v>
      </c>
      <c r="S7">
        <v>1943.2220999923873</v>
      </c>
      <c r="T7">
        <v>116.49291783168998</v>
      </c>
      <c r="U7">
        <f t="shared" si="13"/>
        <v>2105.4256778557747</v>
      </c>
      <c r="V7">
        <v>0.68702000051261636</v>
      </c>
      <c r="W7">
        <f t="shared" si="14"/>
        <v>0.69944828247767155</v>
      </c>
    </row>
    <row r="8" spans="1:28">
      <c r="A8">
        <v>5</v>
      </c>
      <c r="B8">
        <f t="shared" si="0"/>
        <v>65.416666666666671</v>
      </c>
      <c r="C8">
        <f t="shared" si="1"/>
        <v>0.98576831385306929</v>
      </c>
      <c r="D8" s="21">
        <v>0.75885395914617004</v>
      </c>
      <c r="E8">
        <f t="shared" si="7"/>
        <v>6.276822296435236E-2</v>
      </c>
      <c r="F8">
        <f t="shared" si="2"/>
        <v>6.4824666568579589E-2</v>
      </c>
      <c r="G8" s="22">
        <f t="shared" si="8"/>
        <v>0.75885395914617004</v>
      </c>
      <c r="H8" s="21">
        <v>0.89968038646691495</v>
      </c>
      <c r="I8">
        <f t="shared" si="3"/>
        <v>2.3009423318135304E-2</v>
      </c>
      <c r="J8" s="22">
        <f t="shared" si="9"/>
        <v>0.89968038646691495</v>
      </c>
      <c r="K8">
        <f t="shared" si="10"/>
        <v>2.2746725238619425E-2</v>
      </c>
      <c r="L8">
        <v>8.3095383084330621E-4</v>
      </c>
      <c r="M8">
        <f t="shared" si="4"/>
        <v>2.2746725238619425E-2</v>
      </c>
      <c r="N8">
        <f t="shared" si="11"/>
        <v>0.89968038646691495</v>
      </c>
      <c r="O8">
        <v>0.75885395914617004</v>
      </c>
      <c r="P8">
        <f t="shared" si="12"/>
        <v>0.14082642732074491</v>
      </c>
      <c r="Q8">
        <f t="shared" si="5"/>
        <v>0.10031961353308505</v>
      </c>
      <c r="R8">
        <f t="shared" si="6"/>
        <v>1</v>
      </c>
      <c r="S8">
        <v>1821.2495019508081</v>
      </c>
      <c r="T8">
        <v>147.86774868678216</v>
      </c>
      <c r="U8">
        <f t="shared" si="13"/>
        <v>2014.4161342308337</v>
      </c>
      <c r="V8">
        <v>0.66231930179438514</v>
      </c>
      <c r="W8">
        <f t="shared" si="14"/>
        <v>0.67466965115350075</v>
      </c>
    </row>
    <row r="9" spans="1:28">
      <c r="A9">
        <v>6</v>
      </c>
      <c r="B9">
        <f t="shared" si="0"/>
        <v>65.5</v>
      </c>
      <c r="C9">
        <f t="shared" si="1"/>
        <v>0.98294637436598087</v>
      </c>
      <c r="D9" s="21">
        <v>0.70933130302807301</v>
      </c>
      <c r="E9">
        <f t="shared" si="7"/>
        <v>6.5259798043114658E-2</v>
      </c>
      <c r="F9">
        <f t="shared" si="2"/>
        <v>6.748664717301936E-2</v>
      </c>
      <c r="G9" s="22">
        <f t="shared" si="8"/>
        <v>0.70933130302807301</v>
      </c>
      <c r="H9" s="21">
        <v>0.87880436676430496</v>
      </c>
      <c r="I9">
        <f t="shared" si="3"/>
        <v>2.3477264598020721E-2</v>
      </c>
      <c r="J9" s="22">
        <f t="shared" si="9"/>
        <v>0.87880436676430496</v>
      </c>
      <c r="K9">
        <f t="shared" si="10"/>
        <v>2.3203817729750775E-2</v>
      </c>
      <c r="L9">
        <v>8.3095383084330621E-4</v>
      </c>
      <c r="M9">
        <f t="shared" si="4"/>
        <v>2.3203817729750775E-2</v>
      </c>
      <c r="N9">
        <f t="shared" si="11"/>
        <v>0.87880436676430496</v>
      </c>
      <c r="O9">
        <v>0.70933130302807301</v>
      </c>
      <c r="P9">
        <f t="shared" si="12"/>
        <v>0.16947306373623194</v>
      </c>
      <c r="Q9">
        <f t="shared" si="5"/>
        <v>0.12119563323569504</v>
      </c>
      <c r="R9">
        <f t="shared" si="6"/>
        <v>1</v>
      </c>
      <c r="S9">
        <v>1702.3951272673753</v>
      </c>
      <c r="T9">
        <v>177.94671692304354</v>
      </c>
      <c r="U9">
        <f t="shared" si="13"/>
        <v>1924.7295474140044</v>
      </c>
      <c r="V9">
        <v>0.63801494823001303</v>
      </c>
      <c r="W9">
        <f t="shared" si="14"/>
        <v>0.65016712501219909</v>
      </c>
    </row>
    <row r="10" spans="1:28">
      <c r="A10">
        <v>7</v>
      </c>
      <c r="B10">
        <f t="shared" si="0"/>
        <v>65.583333333333329</v>
      </c>
      <c r="C10">
        <f t="shared" si="1"/>
        <v>0.98013251318934025</v>
      </c>
      <c r="D10" s="21">
        <v>0.661519058209035</v>
      </c>
      <c r="E10">
        <f t="shared" si="7"/>
        <v>6.7404673408507088E-2</v>
      </c>
      <c r="F10">
        <f t="shared" si="2"/>
        <v>6.9783905781213504E-2</v>
      </c>
      <c r="G10" s="22">
        <f t="shared" si="8"/>
        <v>0.661519058209035</v>
      </c>
      <c r="H10" s="21">
        <v>0.85807259840425698</v>
      </c>
      <c r="I10">
        <f t="shared" si="3"/>
        <v>2.387360007297961E-2</v>
      </c>
      <c r="J10" s="22">
        <f t="shared" si="9"/>
        <v>0.85807259840425698</v>
      </c>
      <c r="K10">
        <f t="shared" si="10"/>
        <v>2.3590880000267767E-2</v>
      </c>
      <c r="L10">
        <v>8.3095383084330621E-4</v>
      </c>
      <c r="M10">
        <f t="shared" si="4"/>
        <v>2.3590880000267767E-2</v>
      </c>
      <c r="N10">
        <f t="shared" si="11"/>
        <v>0.85807259840425698</v>
      </c>
      <c r="O10">
        <v>0.661519058209035</v>
      </c>
      <c r="P10">
        <f t="shared" si="12"/>
        <v>0.19655354019522198</v>
      </c>
      <c r="Q10">
        <f t="shared" si="5"/>
        <v>0.14192740159574302</v>
      </c>
      <c r="R10">
        <f t="shared" si="6"/>
        <v>1</v>
      </c>
      <c r="S10">
        <v>1587.6457397016841</v>
      </c>
      <c r="T10">
        <v>206.38121720498307</v>
      </c>
      <c r="U10">
        <f t="shared" si="13"/>
        <v>1837.184400548543</v>
      </c>
      <c r="V10">
        <v>0.61426163550065827</v>
      </c>
      <c r="W10">
        <f t="shared" si="14"/>
        <v>0.62613829186533565</v>
      </c>
    </row>
    <row r="11" spans="1:28">
      <c r="A11">
        <v>8</v>
      </c>
      <c r="B11">
        <f t="shared" si="0"/>
        <v>65.666666666666671</v>
      </c>
      <c r="C11">
        <f t="shared" si="1"/>
        <v>0.97732670719752757</v>
      </c>
      <c r="D11" s="21">
        <v>0.61567915631058401</v>
      </c>
      <c r="E11">
        <f t="shared" si="7"/>
        <v>6.9294907424973906E-2</v>
      </c>
      <c r="F11">
        <f t="shared" si="2"/>
        <v>7.1812816036852994E-2</v>
      </c>
      <c r="G11" s="22">
        <f t="shared" si="8"/>
        <v>0.61567915631058401</v>
      </c>
      <c r="H11" s="21">
        <v>0.83754122256451902</v>
      </c>
      <c r="I11">
        <f t="shared" si="3"/>
        <v>2.4218225972745713E-2</v>
      </c>
      <c r="J11" s="22">
        <f t="shared" si="9"/>
        <v>0.83754122256451902</v>
      </c>
      <c r="K11">
        <f t="shared" si="10"/>
        <v>2.3927317895851452E-2</v>
      </c>
      <c r="L11">
        <v>8.3095383084330621E-4</v>
      </c>
      <c r="M11">
        <f t="shared" si="4"/>
        <v>2.3927317895851452E-2</v>
      </c>
      <c r="N11">
        <f t="shared" si="11"/>
        <v>0.83754122256451902</v>
      </c>
      <c r="O11">
        <v>0.61567915631058401</v>
      </c>
      <c r="P11">
        <f t="shared" si="12"/>
        <v>0.22186206625393501</v>
      </c>
      <c r="Q11">
        <f t="shared" si="5"/>
        <v>0.16245877743548098</v>
      </c>
      <c r="R11">
        <f t="shared" si="6"/>
        <v>1</v>
      </c>
      <c r="S11">
        <v>1477.6299751454017</v>
      </c>
      <c r="T11">
        <v>232.95516956663175</v>
      </c>
      <c r="U11">
        <f t="shared" si="13"/>
        <v>1752.3060508093504</v>
      </c>
      <c r="V11">
        <v>0.59116077504922304</v>
      </c>
      <c r="W11">
        <f t="shared" si="14"/>
        <v>0.6027112052749406</v>
      </c>
    </row>
    <row r="12" spans="1:28">
      <c r="A12">
        <v>9</v>
      </c>
      <c r="B12">
        <f t="shared" si="0"/>
        <v>65.75</v>
      </c>
      <c r="C12">
        <f t="shared" si="1"/>
        <v>0.974528933331124</v>
      </c>
      <c r="D12" s="21">
        <v>0.57197247659009198</v>
      </c>
      <c r="E12">
        <f t="shared" si="7"/>
        <v>7.0989376970955753E-2</v>
      </c>
      <c r="F12">
        <f t="shared" si="2"/>
        <v>7.3635105326201628E-2</v>
      </c>
      <c r="G12" s="22">
        <f t="shared" si="8"/>
        <v>0.57197247659009198</v>
      </c>
      <c r="H12" s="21">
        <v>0.81725148834445005</v>
      </c>
      <c r="I12">
        <f t="shared" si="3"/>
        <v>2.4523616696045497E-2</v>
      </c>
      <c r="J12" s="22">
        <f t="shared" si="9"/>
        <v>0.81725148834445005</v>
      </c>
      <c r="K12">
        <f t="shared" si="10"/>
        <v>2.4225355926891123E-2</v>
      </c>
      <c r="L12">
        <v>8.3095383084330621E-4</v>
      </c>
      <c r="M12">
        <f t="shared" si="4"/>
        <v>2.4225355926891123E-2</v>
      </c>
      <c r="N12">
        <f t="shared" si="11"/>
        <v>0.81725148834445005</v>
      </c>
      <c r="O12">
        <v>0.57197247659009198</v>
      </c>
      <c r="P12">
        <f t="shared" si="12"/>
        <v>0.24527901175435807</v>
      </c>
      <c r="Q12">
        <f t="shared" si="5"/>
        <v>0.18274851165554995</v>
      </c>
      <c r="R12">
        <f t="shared" si="6"/>
        <v>1</v>
      </c>
      <c r="S12">
        <v>1372.7339438162207</v>
      </c>
      <c r="T12">
        <v>257.54296234207595</v>
      </c>
      <c r="U12">
        <f t="shared" si="13"/>
        <v>1670.4310254351651</v>
      </c>
      <c r="V12">
        <v>0.56877803761745072</v>
      </c>
      <c r="W12">
        <f t="shared" si="14"/>
        <v>0.57996940633333693</v>
      </c>
    </row>
    <row r="13" spans="1:28">
      <c r="A13">
        <v>10</v>
      </c>
      <c r="B13">
        <f t="shared" si="0"/>
        <v>65.833333333333329</v>
      </c>
      <c r="C13">
        <f t="shared" si="1"/>
        <v>0.97173916859672327</v>
      </c>
      <c r="D13" s="21">
        <v>0.53048835243997605</v>
      </c>
      <c r="E13">
        <f t="shared" si="7"/>
        <v>7.2528182470300573E-2</v>
      </c>
      <c r="F13">
        <f t="shared" si="2"/>
        <v>7.5292870374915846E-2</v>
      </c>
      <c r="G13" s="22">
        <f t="shared" si="8"/>
        <v>0.53048835243997605</v>
      </c>
      <c r="H13" s="21">
        <v>0.79723437323120205</v>
      </c>
      <c r="I13">
        <f t="shared" si="3"/>
        <v>2.4798161905236784E-2</v>
      </c>
      <c r="J13" s="22">
        <f t="shared" si="9"/>
        <v>0.79723437323120205</v>
      </c>
      <c r="K13">
        <f t="shared" si="10"/>
        <v>2.4493213409494952E-2</v>
      </c>
      <c r="L13">
        <v>8.3095383084330621E-4</v>
      </c>
      <c r="M13">
        <f t="shared" si="4"/>
        <v>2.4493213409494952E-2</v>
      </c>
      <c r="N13">
        <f t="shared" si="11"/>
        <v>0.79723437323120205</v>
      </c>
      <c r="O13">
        <v>0.53048835243997605</v>
      </c>
      <c r="P13">
        <f t="shared" si="12"/>
        <v>0.266746020791226</v>
      </c>
      <c r="Q13">
        <f t="shared" si="5"/>
        <v>0.20276562676879795</v>
      </c>
      <c r="R13">
        <f t="shared" si="6"/>
        <v>1</v>
      </c>
      <c r="S13">
        <v>1273.1720458559425</v>
      </c>
      <c r="T13">
        <v>280.08332183078733</v>
      </c>
      <c r="U13">
        <f t="shared" si="13"/>
        <v>1591.7661369225134</v>
      </c>
      <c r="V13">
        <v>0.54715392529879425</v>
      </c>
      <c r="W13">
        <f t="shared" si="14"/>
        <v>0.55796598145812248</v>
      </c>
    </row>
    <row r="14" spans="1:28">
      <c r="A14">
        <v>11</v>
      </c>
      <c r="B14">
        <f t="shared" si="0"/>
        <v>65.916666666666671</v>
      </c>
      <c r="C14">
        <f t="shared" si="1"/>
        <v>0.96895739006674086</v>
      </c>
      <c r="D14" s="21">
        <v>0.49126406894795099</v>
      </c>
      <c r="E14">
        <f t="shared" si="7"/>
        <v>7.3939952331871894E-2</v>
      </c>
      <c r="F14">
        <f t="shared" si="2"/>
        <v>7.6816200144512847E-2</v>
      </c>
      <c r="G14" s="22">
        <f t="shared" si="8"/>
        <v>0.49126406894795094</v>
      </c>
      <c r="H14" s="21">
        <v>0.77751343151959196</v>
      </c>
      <c r="I14">
        <f t="shared" si="3"/>
        <v>2.50477856886572E-2</v>
      </c>
      <c r="J14" s="22">
        <f t="shared" si="9"/>
        <v>0.77751343151959196</v>
      </c>
      <c r="K14">
        <f t="shared" si="10"/>
        <v>2.4736692713939079E-2</v>
      </c>
      <c r="L14">
        <v>8.3095383084330621E-4</v>
      </c>
      <c r="M14">
        <f t="shared" si="4"/>
        <v>2.4736692713939079E-2</v>
      </c>
      <c r="N14">
        <f t="shared" si="11"/>
        <v>0.77751343151959196</v>
      </c>
      <c r="O14">
        <v>0.49126406894795094</v>
      </c>
      <c r="P14">
        <f t="shared" si="12"/>
        <v>0.28624936257164102</v>
      </c>
      <c r="Q14">
        <f t="shared" si="5"/>
        <v>0.22248656848040804</v>
      </c>
      <c r="R14">
        <f t="shared" si="6"/>
        <v>1</v>
      </c>
      <c r="S14">
        <v>1179.0337654750822</v>
      </c>
      <c r="T14">
        <v>300.56183070022308</v>
      </c>
      <c r="U14">
        <f t="shared" si="13"/>
        <v>1516.4254819310177</v>
      </c>
      <c r="V14">
        <v>0.52631065506522223</v>
      </c>
      <c r="W14">
        <f t="shared" si="14"/>
        <v>0.53673229018200819</v>
      </c>
    </row>
    <row r="15" spans="1:28">
      <c r="A15">
        <v>12</v>
      </c>
      <c r="B15">
        <f t="shared" si="0"/>
        <v>66</v>
      </c>
      <c r="C15">
        <f t="shared" si="1"/>
        <v>0.96618357487922713</v>
      </c>
      <c r="D15" s="21">
        <v>0.454298468125021</v>
      </c>
      <c r="E15">
        <f t="shared" si="7"/>
        <v>7.5245887414669532E-2</v>
      </c>
      <c r="F15">
        <f t="shared" si="2"/>
        <v>7.8227401039310723E-2</v>
      </c>
      <c r="G15" s="22">
        <f t="shared" si="8"/>
        <v>0.45429846812502095</v>
      </c>
      <c r="H15" s="21">
        <v>0.75810665876930405</v>
      </c>
      <c r="I15">
        <f t="shared" si="3"/>
        <v>2.52768326495449E-2</v>
      </c>
      <c r="J15" s="22">
        <f t="shared" si="9"/>
        <v>0.75810665876930405</v>
      </c>
      <c r="K15">
        <f t="shared" si="10"/>
        <v>2.4960048230110665E-2</v>
      </c>
      <c r="L15">
        <v>9.342859765884004E-4</v>
      </c>
      <c r="M15">
        <f t="shared" si="4"/>
        <v>2.4960048230110665E-2</v>
      </c>
      <c r="N15">
        <f t="shared" si="11"/>
        <v>0.75810665876930405</v>
      </c>
      <c r="O15">
        <v>0.45429846812502095</v>
      </c>
      <c r="P15">
        <f t="shared" si="12"/>
        <v>0.3038081906442831</v>
      </c>
      <c r="Q15">
        <f t="shared" si="5"/>
        <v>0.24189334123069595</v>
      </c>
      <c r="R15">
        <f t="shared" si="6"/>
        <v>1</v>
      </c>
      <c r="S15">
        <v>1090.3163235000502</v>
      </c>
      <c r="T15">
        <v>318.99860017649723</v>
      </c>
      <c r="U15">
        <f t="shared" si="13"/>
        <v>1444.4552599259264</v>
      </c>
      <c r="V15">
        <v>0.50625690045965788</v>
      </c>
      <c r="W15">
        <f t="shared" si="14"/>
        <v>0.51628377776244005</v>
      </c>
    </row>
    <row r="16" spans="1:28">
      <c r="A16">
        <v>13</v>
      </c>
      <c r="B16">
        <f t="shared" si="0"/>
        <v>66.083333333333329</v>
      </c>
      <c r="C16">
        <f t="shared" si="1"/>
        <v>0.96341770023767914</v>
      </c>
      <c r="D16" s="21">
        <v>0.41956182789039098</v>
      </c>
      <c r="E16">
        <f t="shared" si="7"/>
        <v>7.6462155767319628E-2</v>
      </c>
      <c r="F16">
        <f t="shared" si="2"/>
        <v>7.9543501045831508E-2</v>
      </c>
      <c r="G16" s="22">
        <f t="shared" si="8"/>
        <v>0.41956182789039093</v>
      </c>
      <c r="H16" s="21">
        <v>0.739027770938122</v>
      </c>
      <c r="I16">
        <f t="shared" si="3"/>
        <v>2.5488587201562538E-2</v>
      </c>
      <c r="J16" s="22">
        <f t="shared" si="9"/>
        <v>0.739027770938122</v>
      </c>
      <c r="K16">
        <f t="shared" si="10"/>
        <v>2.5166495519448939E-2</v>
      </c>
      <c r="L16">
        <v>9.342859765884004E-4</v>
      </c>
      <c r="M16">
        <f t="shared" si="4"/>
        <v>2.5166495519448939E-2</v>
      </c>
      <c r="N16">
        <f t="shared" si="11"/>
        <v>0.739027770938122</v>
      </c>
      <c r="O16">
        <v>0.41956182789039093</v>
      </c>
      <c r="P16">
        <f t="shared" si="12"/>
        <v>0.31946594304773107</v>
      </c>
      <c r="Q16">
        <f t="shared" si="5"/>
        <v>0.260972229061878</v>
      </c>
      <c r="R16">
        <f t="shared" si="6"/>
        <v>1</v>
      </c>
      <c r="S16">
        <v>1006.9483869369383</v>
      </c>
      <c r="T16">
        <v>335.43924020011764</v>
      </c>
      <c r="U16">
        <f t="shared" si="13"/>
        <v>1375.8512754068017</v>
      </c>
      <c r="V16">
        <v>0.48699119727837048</v>
      </c>
      <c r="W16">
        <f t="shared" si="14"/>
        <v>0.49662404886901418</v>
      </c>
    </row>
    <row r="17" spans="1:23">
      <c r="A17">
        <v>14</v>
      </c>
      <c r="B17">
        <f t="shared" si="0"/>
        <v>66.166666666666671</v>
      </c>
      <c r="C17">
        <f t="shared" si="1"/>
        <v>0.96065974341085225</v>
      </c>
      <c r="D17" s="21">
        <v>0.38700324780733097</v>
      </c>
      <c r="E17">
        <f t="shared" si="7"/>
        <v>7.760138773054881E-2</v>
      </c>
      <c r="F17">
        <f t="shared" si="2"/>
        <v>8.0777814506464624E-2</v>
      </c>
      <c r="G17" s="22">
        <f t="shared" si="8"/>
        <v>0.38700324780733092</v>
      </c>
      <c r="H17" s="21">
        <v>0.72028711582016103</v>
      </c>
      <c r="I17">
        <f t="shared" si="3"/>
        <v>2.5685594825287279E-2</v>
      </c>
      <c r="J17" s="22">
        <f t="shared" si="9"/>
        <v>0.72028711582016103</v>
      </c>
      <c r="K17">
        <f t="shared" si="10"/>
        <v>2.5358526235315315E-2</v>
      </c>
      <c r="L17">
        <v>9.342859765884004E-4</v>
      </c>
      <c r="M17">
        <f t="shared" si="4"/>
        <v>2.5358526235315315E-2</v>
      </c>
      <c r="N17">
        <f t="shared" si="11"/>
        <v>0.72028711582016103</v>
      </c>
      <c r="O17">
        <v>0.38700324780733092</v>
      </c>
      <c r="P17">
        <f t="shared" si="12"/>
        <v>0.33328386801283011</v>
      </c>
      <c r="Q17">
        <f t="shared" si="5"/>
        <v>0.27971288417983897</v>
      </c>
      <c r="R17">
        <f t="shared" si="6"/>
        <v>1</v>
      </c>
      <c r="S17">
        <v>928.80779473759424</v>
      </c>
      <c r="T17">
        <v>349.94806141347163</v>
      </c>
      <c r="U17">
        <f t="shared" si="13"/>
        <v>1310.5717416440609</v>
      </c>
      <c r="V17">
        <v>0.46850446729613315</v>
      </c>
      <c r="W17">
        <f t="shared" si="14"/>
        <v>0.47774783228725182</v>
      </c>
    </row>
    <row r="18" spans="1:23">
      <c r="A18">
        <v>15</v>
      </c>
      <c r="B18">
        <f t="shared" si="0"/>
        <v>66.25</v>
      </c>
      <c r="C18">
        <f t="shared" si="1"/>
        <v>0.95790968173257507</v>
      </c>
      <c r="D18" s="21">
        <v>0.356556289581549</v>
      </c>
      <c r="E18">
        <f t="shared" si="7"/>
        <v>7.8673650410654772E-2</v>
      </c>
      <c r="F18">
        <f t="shared" si="2"/>
        <v>8.1940962831922953E-2</v>
      </c>
      <c r="G18" s="22">
        <f t="shared" si="8"/>
        <v>0.35655628958154895</v>
      </c>
      <c r="H18" s="21">
        <v>0.70189234303223302</v>
      </c>
      <c r="I18">
        <f t="shared" si="3"/>
        <v>2.5869869732729863E-2</v>
      </c>
      <c r="J18" s="22">
        <f t="shared" si="9"/>
        <v>0.70189234303223302</v>
      </c>
      <c r="K18">
        <f t="shared" si="10"/>
        <v>2.5538111655631468E-2</v>
      </c>
      <c r="L18">
        <v>9.342859765884004E-4</v>
      </c>
      <c r="M18">
        <f t="shared" si="4"/>
        <v>2.5538111655631468E-2</v>
      </c>
      <c r="N18">
        <f t="shared" si="11"/>
        <v>0.70189234303223302</v>
      </c>
      <c r="O18">
        <v>0.35655628958154895</v>
      </c>
      <c r="P18">
        <f t="shared" si="12"/>
        <v>0.34533605345068408</v>
      </c>
      <c r="Q18">
        <f t="shared" si="5"/>
        <v>0.29810765696776698</v>
      </c>
      <c r="R18">
        <f t="shared" si="6"/>
        <v>1</v>
      </c>
      <c r="S18">
        <v>855.73509499571742</v>
      </c>
      <c r="T18">
        <v>362.60285612321826</v>
      </c>
      <c r="U18">
        <f t="shared" si="13"/>
        <v>1248.5469036350007</v>
      </c>
      <c r="V18">
        <v>0.45078193259895022</v>
      </c>
      <c r="W18">
        <f t="shared" si="14"/>
        <v>0.45964319994754166</v>
      </c>
    </row>
    <row r="19" spans="1:23">
      <c r="A19">
        <v>16</v>
      </c>
      <c r="B19">
        <f t="shared" si="0"/>
        <v>66.333333333333329</v>
      </c>
      <c r="C19">
        <f t="shared" si="1"/>
        <v>0.95516749260156175</v>
      </c>
      <c r="D19" s="21">
        <v>0.32814335077814699</v>
      </c>
      <c r="E19">
        <f t="shared" si="7"/>
        <v>7.9687105889359455E-2</v>
      </c>
      <c r="F19">
        <f t="shared" si="2"/>
        <v>8.304156446655199E-2</v>
      </c>
      <c r="G19" s="22">
        <f t="shared" si="8"/>
        <v>0.32814335077814694</v>
      </c>
      <c r="H19" s="21">
        <v>0.683848909500823</v>
      </c>
      <c r="I19">
        <f t="shared" si="3"/>
        <v>2.604303408186218E-2</v>
      </c>
      <c r="J19" s="22">
        <f t="shared" si="9"/>
        <v>0.683848909500823</v>
      </c>
      <c r="K19">
        <f t="shared" si="10"/>
        <v>2.5706839105069768E-2</v>
      </c>
      <c r="L19">
        <v>9.342859765884004E-4</v>
      </c>
      <c r="M19">
        <f t="shared" si="4"/>
        <v>2.5706839105069768E-2</v>
      </c>
      <c r="N19">
        <f t="shared" si="11"/>
        <v>0.683848909500823</v>
      </c>
      <c r="O19">
        <v>0.32814335077814694</v>
      </c>
      <c r="P19">
        <f t="shared" si="12"/>
        <v>0.35570555872267606</v>
      </c>
      <c r="Q19">
        <f t="shared" si="5"/>
        <v>0.316151090499177</v>
      </c>
      <c r="R19">
        <f t="shared" si="6"/>
        <v>1</v>
      </c>
      <c r="S19">
        <v>787.54404186755266</v>
      </c>
      <c r="T19">
        <v>373.49083665880988</v>
      </c>
      <c r="U19">
        <f t="shared" si="13"/>
        <v>1189.6864148226491</v>
      </c>
      <c r="V19">
        <v>0.43380459296829266</v>
      </c>
      <c r="W19">
        <f t="shared" si="14"/>
        <v>0.44229326278362147</v>
      </c>
    </row>
    <row r="20" spans="1:23">
      <c r="A20">
        <v>17</v>
      </c>
      <c r="B20">
        <f t="shared" si="0"/>
        <v>66.416666666666671</v>
      </c>
      <c r="C20">
        <f t="shared" si="1"/>
        <v>0.95243315348122637</v>
      </c>
      <c r="D20" s="21">
        <v>0.30167909179555502</v>
      </c>
      <c r="E20">
        <f t="shared" si="7"/>
        <v>8.0648469395572464E-2</v>
      </c>
      <c r="F20">
        <f t="shared" si="2"/>
        <v>8.4086715506936194E-2</v>
      </c>
      <c r="G20" s="22">
        <f t="shared" si="8"/>
        <v>0.30167909179555497</v>
      </c>
      <c r="H20" s="21">
        <v>0.66616046933565698</v>
      </c>
      <c r="I20">
        <f t="shared" si="3"/>
        <v>2.6206414213292235E-2</v>
      </c>
      <c r="J20" s="22">
        <f t="shared" si="9"/>
        <v>0.66616046933565698</v>
      </c>
      <c r="K20">
        <f t="shared" si="10"/>
        <v>2.5866006247019846E-2</v>
      </c>
      <c r="L20">
        <v>9.342859765884004E-4</v>
      </c>
      <c r="M20">
        <f t="shared" si="4"/>
        <v>2.5866006247019846E-2</v>
      </c>
      <c r="N20">
        <f t="shared" si="11"/>
        <v>0.66616046933565698</v>
      </c>
      <c r="O20">
        <v>0.30167909179555497</v>
      </c>
      <c r="P20">
        <f t="shared" si="12"/>
        <v>0.36448137754010201</v>
      </c>
      <c r="Q20">
        <f t="shared" si="5"/>
        <v>0.33383953066434302</v>
      </c>
      <c r="R20">
        <f t="shared" si="6"/>
        <v>1</v>
      </c>
      <c r="S20">
        <v>724.02982030933197</v>
      </c>
      <c r="T20">
        <v>382.70544641710711</v>
      </c>
      <c r="U20">
        <f t="shared" si="13"/>
        <v>1133.8850726264006</v>
      </c>
      <c r="V20">
        <v>0.4175503803705839</v>
      </c>
      <c r="W20">
        <f t="shared" si="14"/>
        <v>0.42567748666943828</v>
      </c>
    </row>
    <row r="21" spans="1:23">
      <c r="A21">
        <v>18</v>
      </c>
      <c r="B21">
        <f t="shared" si="0"/>
        <v>66.5</v>
      </c>
      <c r="C21">
        <f t="shared" si="1"/>
        <v>0.94970664189949872</v>
      </c>
      <c r="D21" s="21">
        <v>0.27707313850138898</v>
      </c>
      <c r="E21">
        <f t="shared" si="7"/>
        <v>8.1563336549823839E-2</v>
      </c>
      <c r="F21">
        <f t="shared" si="2"/>
        <v>8.5082333209545488E-2</v>
      </c>
      <c r="G21" s="22">
        <f t="shared" si="8"/>
        <v>0.27707313850138893</v>
      </c>
      <c r="H21" s="21">
        <v>0.64882918025313796</v>
      </c>
      <c r="I21">
        <f t="shared" si="3"/>
        <v>2.6361108947174458E-2</v>
      </c>
      <c r="J21" s="22">
        <f t="shared" si="9"/>
        <v>0.64882918025313796</v>
      </c>
      <c r="K21">
        <f t="shared" si="10"/>
        <v>2.601668799081247E-2</v>
      </c>
      <c r="L21">
        <v>9.342859765884004E-4</v>
      </c>
      <c r="M21">
        <f t="shared" si="4"/>
        <v>2.601668799081247E-2</v>
      </c>
      <c r="N21">
        <f t="shared" si="11"/>
        <v>0.64882918025313796</v>
      </c>
      <c r="O21">
        <v>0.27707313850138893</v>
      </c>
      <c r="P21">
        <f t="shared" si="12"/>
        <v>0.37175604175174903</v>
      </c>
      <c r="Q21">
        <f t="shared" si="5"/>
        <v>0.35117081974686204</v>
      </c>
      <c r="R21">
        <f t="shared" si="6"/>
        <v>1</v>
      </c>
      <c r="S21">
        <v>664.97553240333343</v>
      </c>
      <c r="T21">
        <v>390.3438438393365</v>
      </c>
      <c r="U21">
        <f t="shared" si="13"/>
        <v>1081.0273214845545</v>
      </c>
      <c r="V21">
        <v>0.40199506890695791</v>
      </c>
      <c r="W21">
        <f t="shared" si="14"/>
        <v>0.4097727246387709</v>
      </c>
    </row>
    <row r="22" spans="1:23">
      <c r="A22">
        <v>19</v>
      </c>
      <c r="B22">
        <f t="shared" si="0"/>
        <v>66.583333333333329</v>
      </c>
      <c r="C22">
        <f t="shared" si="1"/>
        <v>0.94698793544863802</v>
      </c>
      <c r="D22" s="21">
        <v>0.254232220230804</v>
      </c>
      <c r="E22">
        <f t="shared" si="7"/>
        <v>8.2436422361709671E-2</v>
      </c>
      <c r="F22">
        <f t="shared" si="2"/>
        <v>8.6033407025505423E-2</v>
      </c>
      <c r="G22" s="22">
        <f t="shared" si="8"/>
        <v>0.25423222023080394</v>
      </c>
      <c r="H22" s="21">
        <v>0.63185594835767001</v>
      </c>
      <c r="I22">
        <f t="shared" si="3"/>
        <v>2.6508039165979977E-2</v>
      </c>
      <c r="J22" s="22">
        <f t="shared" si="9"/>
        <v>0.63185594835767001</v>
      </c>
      <c r="K22">
        <f t="shared" si="10"/>
        <v>2.6159785059059693E-2</v>
      </c>
      <c r="L22">
        <v>9.342859765884004E-4</v>
      </c>
      <c r="M22">
        <f t="shared" si="4"/>
        <v>2.6159785059059693E-2</v>
      </c>
      <c r="N22">
        <f t="shared" si="11"/>
        <v>0.63185594835767001</v>
      </c>
      <c r="O22">
        <v>0.25423222023080394</v>
      </c>
      <c r="P22">
        <f t="shared" si="12"/>
        <v>0.37762372812686607</v>
      </c>
      <c r="Q22">
        <f t="shared" si="5"/>
        <v>0.36814405164232999</v>
      </c>
      <c r="R22">
        <f t="shared" si="6"/>
        <v>1</v>
      </c>
      <c r="S22">
        <v>610.15732855392946</v>
      </c>
      <c r="T22">
        <v>396.50491453320939</v>
      </c>
      <c r="U22">
        <f t="shared" si="13"/>
        <v>1030.9908096649044</v>
      </c>
      <c r="V22">
        <v>0.38711299584346015</v>
      </c>
      <c r="W22">
        <f t="shared" si="14"/>
        <v>0.39455403237520903</v>
      </c>
    </row>
    <row r="23" spans="1:23">
      <c r="A23">
        <v>20</v>
      </c>
      <c r="B23">
        <f t="shared" si="0"/>
        <v>66.666666666666671</v>
      </c>
      <c r="C23">
        <f t="shared" si="1"/>
        <v>0.94427701178505086</v>
      </c>
      <c r="D23" s="21">
        <v>0.23306186108852001</v>
      </c>
      <c r="E23">
        <f t="shared" si="7"/>
        <v>8.3271739211751128E-2</v>
      </c>
      <c r="F23">
        <f t="shared" si="2"/>
        <v>8.6944185659837137E-2</v>
      </c>
      <c r="G23" s="22">
        <f t="shared" si="8"/>
        <v>0.23306186108851995</v>
      </c>
      <c r="H23" s="21">
        <v>0.61524062645986299</v>
      </c>
      <c r="I23">
        <f t="shared" si="3"/>
        <v>2.6647984533442279E-2</v>
      </c>
      <c r="J23" s="22">
        <f t="shared" si="9"/>
        <v>0.61524062645986299</v>
      </c>
      <c r="K23">
        <f t="shared" si="10"/>
        <v>2.6296059950046913E-2</v>
      </c>
      <c r="L23">
        <v>9.342859765884004E-4</v>
      </c>
      <c r="M23">
        <f t="shared" si="4"/>
        <v>2.6296059950046913E-2</v>
      </c>
      <c r="N23">
        <f t="shared" si="11"/>
        <v>0.61524062645986299</v>
      </c>
      <c r="O23">
        <v>0.23306186108851995</v>
      </c>
      <c r="P23">
        <f t="shared" si="12"/>
        <v>0.38217876537134304</v>
      </c>
      <c r="Q23">
        <f t="shared" si="5"/>
        <v>0.38475937354013701</v>
      </c>
      <c r="R23">
        <f t="shared" si="6"/>
        <v>1</v>
      </c>
      <c r="S23">
        <v>559.34846661244785</v>
      </c>
      <c r="T23">
        <v>401.28770363991021</v>
      </c>
      <c r="U23">
        <f t="shared" si="13"/>
        <v>983.64920666974842</v>
      </c>
      <c r="V23">
        <v>0.3728776343347171</v>
      </c>
      <c r="W23">
        <f t="shared" si="14"/>
        <v>0.37999531508908863</v>
      </c>
    </row>
    <row r="24" spans="1:23">
      <c r="A24">
        <v>21</v>
      </c>
      <c r="B24">
        <f t="shared" si="0"/>
        <v>66.75</v>
      </c>
      <c r="C24">
        <f t="shared" si="1"/>
        <v>0.94157384862910565</v>
      </c>
      <c r="D24" s="21">
        <v>0.213467713773517</v>
      </c>
      <c r="E24">
        <f t="shared" si="7"/>
        <v>8.4072731692299008E-2</v>
      </c>
      <c r="F24">
        <f t="shared" si="2"/>
        <v>8.7818318871272449E-2</v>
      </c>
      <c r="G24" s="22">
        <f t="shared" si="8"/>
        <v>0.21346771377351695</v>
      </c>
      <c r="H24" s="21">
        <v>0.598982176742483</v>
      </c>
      <c r="I24">
        <f t="shared" si="3"/>
        <v>2.678161116779066E-2</v>
      </c>
      <c r="J24" s="22">
        <f t="shared" si="9"/>
        <v>0.598982176742483</v>
      </c>
      <c r="K24">
        <f t="shared" si="10"/>
        <v>2.6426164037528288E-2</v>
      </c>
      <c r="L24">
        <v>9.342859765884004E-4</v>
      </c>
      <c r="M24">
        <f t="shared" si="4"/>
        <v>2.6426164037528288E-2</v>
      </c>
      <c r="N24">
        <f t="shared" si="11"/>
        <v>0.598982176742483</v>
      </c>
      <c r="O24">
        <v>0.21346771377351695</v>
      </c>
      <c r="P24">
        <f t="shared" si="12"/>
        <v>0.38551446296896608</v>
      </c>
      <c r="Q24">
        <f t="shared" si="5"/>
        <v>0.401017823257517</v>
      </c>
      <c r="R24">
        <f t="shared" si="6"/>
        <v>1</v>
      </c>
      <c r="S24">
        <v>512.3225130564407</v>
      </c>
      <c r="T24">
        <v>404.79018611741441</v>
      </c>
      <c r="U24">
        <f t="shared" si="13"/>
        <v>938.87443471310655</v>
      </c>
      <c r="V24">
        <v>0.35926204822782626</v>
      </c>
      <c r="W24">
        <f t="shared" si="14"/>
        <v>0.36606984128127168</v>
      </c>
    </row>
    <row r="25" spans="1:23">
      <c r="A25">
        <v>22</v>
      </c>
      <c r="B25">
        <f t="shared" si="0"/>
        <v>66.833333333333329</v>
      </c>
      <c r="C25">
        <f t="shared" si="1"/>
        <v>0.93887842376495012</v>
      </c>
      <c r="D25" s="21">
        <v>0.19535660481192199</v>
      </c>
      <c r="E25">
        <f t="shared" si="7"/>
        <v>8.4842380336777157E-2</v>
      </c>
      <c r="F25">
        <f t="shared" si="2"/>
        <v>8.8658966614978296E-2</v>
      </c>
      <c r="G25" s="22">
        <f t="shared" si="8"/>
        <v>0.19535660481192194</v>
      </c>
      <c r="H25" s="21">
        <v>0.58307880563242098</v>
      </c>
      <c r="I25">
        <f t="shared" si="3"/>
        <v>2.690949282500852E-2</v>
      </c>
      <c r="J25" s="22">
        <f t="shared" si="9"/>
        <v>0.58307880563242098</v>
      </c>
      <c r="K25">
        <f t="shared" si="10"/>
        <v>2.6550658312658348E-2</v>
      </c>
      <c r="L25">
        <v>9.342859765884004E-4</v>
      </c>
      <c r="M25">
        <f t="shared" si="4"/>
        <v>2.6550658312658348E-2</v>
      </c>
      <c r="N25">
        <f t="shared" si="11"/>
        <v>0.58307880563242098</v>
      </c>
      <c r="O25">
        <v>0.19535660481192194</v>
      </c>
      <c r="P25">
        <f t="shared" si="12"/>
        <v>0.38772220082049902</v>
      </c>
      <c r="Q25">
        <f t="shared" si="5"/>
        <v>0.41692119436757902</v>
      </c>
      <c r="R25">
        <f t="shared" si="6"/>
        <v>1</v>
      </c>
      <c r="S25">
        <v>468.85585154861263</v>
      </c>
      <c r="T25">
        <v>407.10831086152399</v>
      </c>
      <c r="U25">
        <f t="shared" si="13"/>
        <v>896.53843079199589</v>
      </c>
      <c r="V25">
        <v>0.34623925216354862</v>
      </c>
      <c r="W25">
        <f t="shared" si="14"/>
        <v>0.35275065019568741</v>
      </c>
    </row>
    <row r="26" spans="1:23">
      <c r="A26">
        <v>23</v>
      </c>
      <c r="B26">
        <f t="shared" si="0"/>
        <v>66.916666666666671</v>
      </c>
      <c r="C26">
        <f t="shared" si="1"/>
        <v>0.93619071504032925</v>
      </c>
      <c r="D26" s="21">
        <v>0.17863734531138101</v>
      </c>
      <c r="E26">
        <f t="shared" si="7"/>
        <v>8.5583282513725711E-2</v>
      </c>
      <c r="F26">
        <f t="shared" si="2"/>
        <v>8.946888420335404E-2</v>
      </c>
      <c r="G26" s="22">
        <f t="shared" si="8"/>
        <v>0.17863734531138095</v>
      </c>
      <c r="H26" s="21">
        <v>0.56752807669553595</v>
      </c>
      <c r="I26">
        <f t="shared" si="3"/>
        <v>2.7032127341745319E-2</v>
      </c>
      <c r="J26" s="22">
        <f t="shared" si="9"/>
        <v>0.56752807669553595</v>
      </c>
      <c r="K26">
        <f t="shared" si="10"/>
        <v>2.6670029482581459E-2</v>
      </c>
      <c r="L26">
        <v>9.342859765884004E-4</v>
      </c>
      <c r="M26">
        <f t="shared" si="4"/>
        <v>2.6670029482581459E-2</v>
      </c>
      <c r="N26">
        <f t="shared" si="11"/>
        <v>0.56752807669553595</v>
      </c>
      <c r="O26">
        <v>0.17863734531138095</v>
      </c>
      <c r="P26">
        <f t="shared" si="12"/>
        <v>0.38889073138415498</v>
      </c>
      <c r="Q26">
        <f t="shared" si="5"/>
        <v>0.43247192330446405</v>
      </c>
      <c r="R26">
        <f t="shared" si="6"/>
        <v>1</v>
      </c>
      <c r="S26">
        <v>428.72962874731428</v>
      </c>
      <c r="T26">
        <v>408.33526795336275</v>
      </c>
      <c r="U26">
        <f t="shared" si="13"/>
        <v>856.51452955540685</v>
      </c>
      <c r="V26">
        <v>0.33378249503495461</v>
      </c>
      <c r="W26">
        <f t="shared" si="14"/>
        <v>0.34001087359925164</v>
      </c>
    </row>
    <row r="27" spans="1:23">
      <c r="A27">
        <v>24</v>
      </c>
      <c r="B27">
        <f t="shared" si="0"/>
        <v>67</v>
      </c>
      <c r="C27">
        <f t="shared" si="1"/>
        <v>0.93351070036640327</v>
      </c>
      <c r="D27" s="21">
        <v>0.163221350366239</v>
      </c>
      <c r="E27">
        <f t="shared" si="7"/>
        <v>8.6297716293704085E-2</v>
      </c>
      <c r="F27">
        <f t="shared" si="2"/>
        <v>9.025048957574322E-2</v>
      </c>
      <c r="G27" s="22">
        <f t="shared" si="8"/>
        <v>0.16322135036623894</v>
      </c>
      <c r="H27" s="21">
        <v>0.55232700593109196</v>
      </c>
      <c r="I27">
        <f t="shared" si="3"/>
        <v>2.7149949559760096E-2</v>
      </c>
      <c r="J27" s="22">
        <f t="shared" si="9"/>
        <v>0.55232700593109196</v>
      </c>
      <c r="K27">
        <f t="shared" si="10"/>
        <v>2.6784702622913548E-2</v>
      </c>
      <c r="L27">
        <v>1.0326785273163663E-3</v>
      </c>
      <c r="M27">
        <f t="shared" si="4"/>
        <v>2.6784702622913548E-2</v>
      </c>
      <c r="N27">
        <f t="shared" si="11"/>
        <v>0.55232700593109196</v>
      </c>
      <c r="O27">
        <v>0.16322135036623894</v>
      </c>
      <c r="P27">
        <f t="shared" si="12"/>
        <v>0.38910565556485299</v>
      </c>
      <c r="Q27">
        <f t="shared" si="5"/>
        <v>0.44767299406890804</v>
      </c>
      <c r="R27">
        <f t="shared" si="6"/>
        <v>1</v>
      </c>
      <c r="S27">
        <v>391.73124087897344</v>
      </c>
      <c r="T27">
        <v>408.56093834309564</v>
      </c>
      <c r="U27">
        <f t="shared" si="13"/>
        <v>818.67853796137308</v>
      </c>
      <c r="V27">
        <v>0.32186548106809287</v>
      </c>
      <c r="W27">
        <f t="shared" si="14"/>
        <v>0.32782398805152374</v>
      </c>
    </row>
    <row r="28" spans="1:23">
      <c r="A28">
        <v>25</v>
      </c>
      <c r="B28">
        <f t="shared" si="0"/>
        <v>67.083333333333329</v>
      </c>
      <c r="C28">
        <f t="shared" si="1"/>
        <v>0.9308383577175644</v>
      </c>
      <c r="D28" s="21">
        <v>0.14902310190454701</v>
      </c>
      <c r="E28">
        <f t="shared" si="7"/>
        <v>8.6987691437631742E-2</v>
      </c>
      <c r="F28">
        <f t="shared" si="2"/>
        <v>9.1005917029665429E-2</v>
      </c>
      <c r="G28" s="22">
        <f t="shared" si="8"/>
        <v>0.14902310190454696</v>
      </c>
      <c r="H28" s="21">
        <v>0.53747214280789701</v>
      </c>
      <c r="I28">
        <f t="shared" si="3"/>
        <v>2.7263341600759456E-2</v>
      </c>
      <c r="J28" s="22">
        <f t="shared" si="9"/>
        <v>0.53747214280789701</v>
      </c>
      <c r="K28">
        <f t="shared" si="10"/>
        <v>2.6895051235369505E-2</v>
      </c>
      <c r="L28">
        <v>1.0326785273163663E-3</v>
      </c>
      <c r="M28">
        <f t="shared" si="4"/>
        <v>2.6895051235369505E-2</v>
      </c>
      <c r="N28">
        <f t="shared" si="11"/>
        <v>0.53747214280789701</v>
      </c>
      <c r="O28">
        <v>0.14902310190454696</v>
      </c>
      <c r="P28">
        <f t="shared" si="12"/>
        <v>0.38844904090335008</v>
      </c>
      <c r="Q28">
        <f t="shared" si="5"/>
        <v>0.46252785719210299</v>
      </c>
      <c r="R28">
        <f t="shared" si="6"/>
        <v>1</v>
      </c>
      <c r="S28">
        <v>357.65544457091272</v>
      </c>
      <c r="T28">
        <v>407.87149294851758</v>
      </c>
      <c r="U28">
        <f t="shared" si="13"/>
        <v>782.90955837074966</v>
      </c>
      <c r="V28">
        <v>0.31046253993722167</v>
      </c>
      <c r="W28">
        <f t="shared" si="14"/>
        <v>0.3161640105026573</v>
      </c>
    </row>
    <row r="29" spans="1:23">
      <c r="A29">
        <v>26</v>
      </c>
      <c r="B29">
        <f t="shared" si="0"/>
        <v>67.166666666666671</v>
      </c>
      <c r="C29">
        <f t="shared" si="1"/>
        <v>0.92817366513125843</v>
      </c>
      <c r="D29" s="21">
        <v>0.13596048332015501</v>
      </c>
      <c r="E29">
        <f t="shared" si="7"/>
        <v>8.7654990517905929E-2</v>
      </c>
      <c r="F29">
        <f t="shared" si="2"/>
        <v>9.1737060574443419E-2</v>
      </c>
      <c r="G29" s="22">
        <f t="shared" si="8"/>
        <v>0.13596048332015495</v>
      </c>
      <c r="H29" s="21">
        <v>0.52295963962866099</v>
      </c>
      <c r="I29">
        <f t="shared" si="3"/>
        <v>2.7372641119594279E-2</v>
      </c>
      <c r="J29" s="22">
        <f t="shared" si="9"/>
        <v>0.52295963962866099</v>
      </c>
      <c r="K29">
        <f t="shared" si="10"/>
        <v>2.7001405325713934E-2</v>
      </c>
      <c r="L29">
        <v>1.0326785273163663E-3</v>
      </c>
      <c r="M29">
        <f t="shared" si="4"/>
        <v>2.7001405325713934E-2</v>
      </c>
      <c r="N29">
        <f t="shared" si="11"/>
        <v>0.52295963962866099</v>
      </c>
      <c r="O29">
        <v>0.13596048332015495</v>
      </c>
      <c r="P29">
        <f t="shared" si="12"/>
        <v>0.38699915630850601</v>
      </c>
      <c r="Q29">
        <f t="shared" si="5"/>
        <v>0.47704036037133901</v>
      </c>
      <c r="R29">
        <f t="shared" si="6"/>
        <v>1</v>
      </c>
      <c r="S29">
        <v>326.30515996837187</v>
      </c>
      <c r="T29">
        <v>406.34911412393132</v>
      </c>
      <c r="U29">
        <f t="shared" si="13"/>
        <v>749.09060580586663</v>
      </c>
      <c r="V29">
        <v>0.29954875514397389</v>
      </c>
      <c r="W29">
        <f t="shared" si="14"/>
        <v>0.30500564754059778</v>
      </c>
    </row>
    <row r="30" spans="1:23">
      <c r="A30">
        <v>27</v>
      </c>
      <c r="B30">
        <f t="shared" si="0"/>
        <v>67.25</v>
      </c>
      <c r="C30">
        <f t="shared" si="1"/>
        <v>0.92551660070780228</v>
      </c>
      <c r="D30" s="21">
        <v>0.12395500916547</v>
      </c>
      <c r="E30">
        <f t="shared" si="7"/>
        <v>8.8301202389924782E-2</v>
      </c>
      <c r="F30">
        <f t="shared" si="2"/>
        <v>9.2445609235985104E-2</v>
      </c>
      <c r="G30" s="22">
        <f t="shared" si="8"/>
        <v>0.12395500916546996</v>
      </c>
      <c r="H30" s="21">
        <v>0.50878531124898596</v>
      </c>
      <c r="I30">
        <f t="shared" si="3"/>
        <v>2.7478147996390472E-2</v>
      </c>
      <c r="J30" s="22">
        <f t="shared" si="9"/>
        <v>0.50878531124898596</v>
      </c>
      <c r="K30">
        <f t="shared" si="10"/>
        <v>2.7104057953190819E-2</v>
      </c>
      <c r="L30">
        <v>1.0326785273163663E-3</v>
      </c>
      <c r="M30">
        <f t="shared" si="4"/>
        <v>2.7104057953190819E-2</v>
      </c>
      <c r="N30">
        <f t="shared" si="11"/>
        <v>0.50878531124898596</v>
      </c>
      <c r="O30">
        <v>0.12395500916546996</v>
      </c>
      <c r="P30">
        <f t="shared" si="12"/>
        <v>0.38483030208351598</v>
      </c>
      <c r="Q30">
        <f t="shared" si="5"/>
        <v>0.49121468875101404</v>
      </c>
      <c r="R30">
        <f t="shared" si="6"/>
        <v>1</v>
      </c>
      <c r="S30">
        <v>297.49202199712789</v>
      </c>
      <c r="T30">
        <v>404.07181718769181</v>
      </c>
      <c r="U30">
        <f t="shared" si="13"/>
        <v>717.10905663856147</v>
      </c>
      <c r="V30">
        <v>0.28910005819082457</v>
      </c>
      <c r="W30">
        <f t="shared" si="14"/>
        <v>0.29432440666739923</v>
      </c>
    </row>
    <row r="31" spans="1:23">
      <c r="A31">
        <v>28</v>
      </c>
      <c r="B31">
        <f t="shared" si="0"/>
        <v>67.333333333333329</v>
      </c>
      <c r="C31">
        <f t="shared" si="1"/>
        <v>0.92286714261020464</v>
      </c>
      <c r="D31" s="21">
        <v>0.112931969140151</v>
      </c>
      <c r="E31">
        <f t="shared" si="7"/>
        <v>8.8927749669270195E-2</v>
      </c>
      <c r="F31">
        <f t="shared" si="2"/>
        <v>9.3133076051665875E-2</v>
      </c>
      <c r="G31" s="22">
        <f t="shared" si="8"/>
        <v>0.11293196914015095</v>
      </c>
      <c r="H31" s="21">
        <v>0.494944686756491</v>
      </c>
      <c r="I31">
        <f t="shared" si="3"/>
        <v>2.7580129810013457E-2</v>
      </c>
      <c r="J31" s="22">
        <f t="shared" si="9"/>
        <v>0.494944686756491</v>
      </c>
      <c r="K31">
        <f t="shared" si="10"/>
        <v>2.7203270586799055E-2</v>
      </c>
      <c r="L31">
        <v>1.0326785273163663E-3</v>
      </c>
      <c r="M31">
        <f t="shared" si="4"/>
        <v>2.7203270586799055E-2</v>
      </c>
      <c r="N31">
        <f t="shared" si="11"/>
        <v>0.494944686756491</v>
      </c>
      <c r="O31">
        <v>0.11293196914015095</v>
      </c>
      <c r="P31">
        <f t="shared" si="12"/>
        <v>0.38201271761634004</v>
      </c>
      <c r="Q31">
        <f t="shared" si="5"/>
        <v>0.50505531324350894</v>
      </c>
      <c r="R31">
        <f t="shared" si="6"/>
        <v>1</v>
      </c>
      <c r="S31">
        <v>271.0367259363623</v>
      </c>
      <c r="T31">
        <v>401.11335349715705</v>
      </c>
      <c r="U31">
        <f t="shared" si="13"/>
        <v>686.8569593091695</v>
      </c>
      <c r="V31">
        <v>0.27909329473748778</v>
      </c>
      <c r="W31">
        <f t="shared" si="14"/>
        <v>0.28409667646415615</v>
      </c>
    </row>
    <row r="32" spans="1:23">
      <c r="A32">
        <v>29</v>
      </c>
      <c r="B32">
        <f t="shared" si="0"/>
        <v>67.416666666666671</v>
      </c>
      <c r="C32">
        <f t="shared" si="1"/>
        <v>0.92022526906398716</v>
      </c>
      <c r="D32" s="21">
        <v>0.10282050234967299</v>
      </c>
      <c r="E32">
        <f t="shared" si="7"/>
        <v>8.9535911464799223E-2</v>
      </c>
      <c r="F32">
        <f t="shared" si="2"/>
        <v>9.3800822069299725E-2</v>
      </c>
      <c r="G32" s="22">
        <f t="shared" si="8"/>
        <v>0.10282050234967297</v>
      </c>
      <c r="H32" s="21">
        <v>0.481433054395282</v>
      </c>
      <c r="I32">
        <f t="shared" si="3"/>
        <v>2.7678826350563214E-2</v>
      </c>
      <c r="J32" s="22">
        <f t="shared" si="9"/>
        <v>0.481433054395282</v>
      </c>
      <c r="K32">
        <f t="shared" si="10"/>
        <v>2.7299277520796195E-2</v>
      </c>
      <c r="L32">
        <v>1.0326785273163663E-3</v>
      </c>
      <c r="M32">
        <f t="shared" si="4"/>
        <v>2.7299277520796195E-2</v>
      </c>
      <c r="N32">
        <f t="shared" si="11"/>
        <v>0.481433054395282</v>
      </c>
      <c r="O32">
        <v>0.10282050234967297</v>
      </c>
      <c r="P32">
        <f t="shared" si="12"/>
        <v>0.37861255204560906</v>
      </c>
      <c r="Q32">
        <f t="shared" si="5"/>
        <v>0.51856694560471794</v>
      </c>
      <c r="R32">
        <f t="shared" si="6"/>
        <v>1</v>
      </c>
      <c r="S32">
        <v>246.76920563921513</v>
      </c>
      <c r="T32">
        <v>397.54317964788953</v>
      </c>
      <c r="U32">
        <f t="shared" si="13"/>
        <v>658.23123236031199</v>
      </c>
      <c r="V32">
        <v>0.26950626785554943</v>
      </c>
      <c r="W32">
        <f t="shared" si="14"/>
        <v>0.27429978129651861</v>
      </c>
    </row>
    <row r="33" spans="1:23">
      <c r="A33">
        <v>30</v>
      </c>
      <c r="B33">
        <f t="shared" si="0"/>
        <v>67.5</v>
      </c>
      <c r="C33">
        <f t="shared" si="1"/>
        <v>0.91759095835700355</v>
      </c>
      <c r="D33" s="21">
        <v>9.3553615146846902E-2</v>
      </c>
      <c r="E33">
        <f t="shared" si="7"/>
        <v>9.0126842322858614E-2</v>
      </c>
      <c r="F33">
        <f t="shared" si="2"/>
        <v>9.4450076354511928E-2</v>
      </c>
      <c r="G33" s="22">
        <f t="shared" si="8"/>
        <v>9.3553615146846875E-2</v>
      </c>
      <c r="H33" s="21">
        <v>0.46824550077442301</v>
      </c>
      <c r="I33">
        <f t="shared" si="3"/>
        <v>2.7774453367061289E-2</v>
      </c>
      <c r="J33" s="22">
        <f t="shared" si="9"/>
        <v>0.46824550077442301</v>
      </c>
      <c r="K33">
        <f t="shared" si="10"/>
        <v>2.7392289541530501E-2</v>
      </c>
      <c r="L33">
        <v>1.0326785273163663E-3</v>
      </c>
      <c r="M33">
        <f t="shared" si="4"/>
        <v>2.7392289541530501E-2</v>
      </c>
      <c r="N33">
        <f t="shared" si="11"/>
        <v>0.46824550077442301</v>
      </c>
      <c r="O33">
        <v>9.3553615146846875E-2</v>
      </c>
      <c r="P33">
        <f t="shared" si="12"/>
        <v>0.37469188562757616</v>
      </c>
      <c r="Q33">
        <f t="shared" si="5"/>
        <v>0.53175449922557694</v>
      </c>
      <c r="R33">
        <f t="shared" si="6"/>
        <v>1</v>
      </c>
      <c r="S33">
        <v>224.52867635243251</v>
      </c>
      <c r="T33">
        <v>393.42647990895495</v>
      </c>
      <c r="U33">
        <f t="shared" si="13"/>
        <v>631.13377077424605</v>
      </c>
      <c r="V33">
        <v>0.26031776262832862</v>
      </c>
      <c r="W33">
        <f t="shared" si="14"/>
        <v>0.26491201524193903</v>
      </c>
    </row>
    <row r="34" spans="1:23">
      <c r="A34">
        <v>31</v>
      </c>
      <c r="B34">
        <f t="shared" si="0"/>
        <v>67.583333333333329</v>
      </c>
      <c r="C34">
        <f t="shared" si="1"/>
        <v>0.91496418883926389</v>
      </c>
      <c r="D34" s="21">
        <v>8.5068153678656305E-2</v>
      </c>
      <c r="E34">
        <f t="shared" si="7"/>
        <v>9.0701588120045917E-2</v>
      </c>
      <c r="F34">
        <f t="shared" si="2"/>
        <v>9.5081952782143611E-2</v>
      </c>
      <c r="G34" s="22">
        <f t="shared" si="8"/>
        <v>8.5068153678656278E-2</v>
      </c>
      <c r="H34" s="21">
        <v>0.45537694520723698</v>
      </c>
      <c r="I34">
        <f t="shared" si="3"/>
        <v>2.7867205701221309E-2</v>
      </c>
      <c r="J34" s="22">
        <f t="shared" si="9"/>
        <v>0.45537694520723698</v>
      </c>
      <c r="K34">
        <f t="shared" si="10"/>
        <v>2.7482496993357031E-2</v>
      </c>
      <c r="L34">
        <v>1.0326785273163663E-3</v>
      </c>
      <c r="M34">
        <f t="shared" si="4"/>
        <v>2.7482496993357031E-2</v>
      </c>
      <c r="N34">
        <f t="shared" si="11"/>
        <v>0.45537694520723698</v>
      </c>
      <c r="O34">
        <v>8.5068153678656278E-2</v>
      </c>
      <c r="P34">
        <f t="shared" si="12"/>
        <v>0.37030879152858071</v>
      </c>
      <c r="Q34">
        <f t="shared" si="5"/>
        <v>0.54462305479276307</v>
      </c>
      <c r="R34">
        <f t="shared" si="6"/>
        <v>1</v>
      </c>
      <c r="S34">
        <v>204.16356882877506</v>
      </c>
      <c r="T34">
        <v>388.82423110500974</v>
      </c>
      <c r="U34">
        <f t="shared" si="13"/>
        <v>605.4714780975861</v>
      </c>
      <c r="V34">
        <v>0.25150755563364224</v>
      </c>
      <c r="W34">
        <f t="shared" si="14"/>
        <v>0.25591265913098543</v>
      </c>
    </row>
    <row r="35" spans="1:23">
      <c r="A35">
        <v>32</v>
      </c>
      <c r="B35">
        <f t="shared" si="0"/>
        <v>67.666666666666671</v>
      </c>
      <c r="C35">
        <f t="shared" si="1"/>
        <v>0.91234493892275459</v>
      </c>
      <c r="D35" s="21">
        <v>7.7304740443299796E-2</v>
      </c>
      <c r="E35">
        <f t="shared" si="7"/>
        <v>9.1261099478927021E-2</v>
      </c>
      <c r="F35">
        <f t="shared" si="2"/>
        <v>9.5697464216071892E-2</v>
      </c>
      <c r="G35" s="22">
        <f t="shared" si="8"/>
        <v>7.7304740443299769E-2</v>
      </c>
      <c r="H35" s="21">
        <v>0.44282216987752498</v>
      </c>
      <c r="I35">
        <f t="shared" si="3"/>
        <v>2.7957259924512975E-2</v>
      </c>
      <c r="J35" s="22">
        <f t="shared" si="9"/>
        <v>0.44282216987752498</v>
      </c>
      <c r="K35">
        <f t="shared" si="10"/>
        <v>2.7570072358402919E-2</v>
      </c>
      <c r="L35">
        <v>1.0326785273163663E-3</v>
      </c>
      <c r="M35">
        <f t="shared" si="4"/>
        <v>2.7570072358402919E-2</v>
      </c>
      <c r="N35">
        <f t="shared" si="11"/>
        <v>0.44282216987752498</v>
      </c>
      <c r="O35">
        <v>7.7304740443299769E-2</v>
      </c>
      <c r="P35">
        <f t="shared" si="12"/>
        <v>0.36551742943422522</v>
      </c>
      <c r="Q35">
        <f t="shared" si="5"/>
        <v>0.55717783012247502</v>
      </c>
      <c r="R35">
        <f t="shared" si="6"/>
        <v>1</v>
      </c>
      <c r="S35">
        <v>185.53137706391945</v>
      </c>
      <c r="T35">
        <v>383.79330090593646</v>
      </c>
      <c r="U35">
        <f t="shared" si="13"/>
        <v>581.15623895182034</v>
      </c>
      <c r="V35">
        <v>0.24305641226288643</v>
      </c>
      <c r="W35">
        <f t="shared" si="14"/>
        <v>0.24728198394826434</v>
      </c>
    </row>
    <row r="36" spans="1:23">
      <c r="A36">
        <v>33</v>
      </c>
      <c r="B36">
        <f t="shared" si="0"/>
        <v>67.75</v>
      </c>
      <c r="C36">
        <f t="shared" si="1"/>
        <v>0.9097331870812615</v>
      </c>
      <c r="D36" s="21">
        <v>7.02076826448612E-2</v>
      </c>
      <c r="E36">
        <f t="shared" si="7"/>
        <v>9.1806243158451983E-2</v>
      </c>
      <c r="F36">
        <f t="shared" si="2"/>
        <v>9.6297534552937783E-2</v>
      </c>
      <c r="G36" s="22">
        <f t="shared" si="8"/>
        <v>7.0207682644861172E-2</v>
      </c>
      <c r="H36" s="21">
        <v>0.43057584640928798</v>
      </c>
      <c r="I36">
        <f t="shared" si="3"/>
        <v>2.8044776570301289E-2</v>
      </c>
      <c r="J36" s="22">
        <f t="shared" si="9"/>
        <v>0.43057584640928798</v>
      </c>
      <c r="K36">
        <f t="shared" si="10"/>
        <v>2.7655172440043119E-2</v>
      </c>
      <c r="L36">
        <v>1.0326785273163663E-3</v>
      </c>
      <c r="M36">
        <f t="shared" si="4"/>
        <v>2.7655172440043119E-2</v>
      </c>
      <c r="N36">
        <f t="shared" si="11"/>
        <v>0.43057584640928798</v>
      </c>
      <c r="O36">
        <v>7.0207682644861172E-2</v>
      </c>
      <c r="P36">
        <f t="shared" si="12"/>
        <v>0.36036816376442682</v>
      </c>
      <c r="Q36">
        <f t="shared" si="5"/>
        <v>0.56942415359071208</v>
      </c>
      <c r="R36">
        <f t="shared" si="6"/>
        <v>1</v>
      </c>
      <c r="S36">
        <v>168.49843834766682</v>
      </c>
      <c r="T36">
        <v>378.38657195264818</v>
      </c>
      <c r="U36">
        <f t="shared" si="13"/>
        <v>558.10484413508539</v>
      </c>
      <c r="V36">
        <v>0.23494607434520512</v>
      </c>
      <c r="W36">
        <f t="shared" si="14"/>
        <v>0.23900124330404576</v>
      </c>
    </row>
    <row r="37" spans="1:23">
      <c r="A37">
        <v>34</v>
      </c>
      <c r="B37">
        <f t="shared" si="0"/>
        <v>67.833333333333329</v>
      </c>
      <c r="C37">
        <f t="shared" si="1"/>
        <v>0.90712891185019351</v>
      </c>
      <c r="D37" s="21">
        <v>6.3724858859484604E-2</v>
      </c>
      <c r="E37">
        <f t="shared" si="7"/>
        <v>9.2337811777228662E-2</v>
      </c>
      <c r="F37">
        <f t="shared" si="2"/>
        <v>9.6883009006906232E-2</v>
      </c>
      <c r="G37" s="22">
        <f t="shared" si="8"/>
        <v>6.3724858859484576E-2</v>
      </c>
      <c r="H37" s="21">
        <v>0.41863255932086102</v>
      </c>
      <c r="I37">
        <f t="shared" si="3"/>
        <v>2.8129902033780421E-2</v>
      </c>
      <c r="J37" s="22">
        <f t="shared" si="9"/>
        <v>0.41863255932086102</v>
      </c>
      <c r="K37">
        <f t="shared" si="10"/>
        <v>2.7737940221277846E-2</v>
      </c>
      <c r="L37">
        <v>1.0326785273163663E-3</v>
      </c>
      <c r="M37">
        <f t="shared" si="4"/>
        <v>2.7737940221277846E-2</v>
      </c>
      <c r="N37">
        <f t="shared" si="11"/>
        <v>0.41863255932086102</v>
      </c>
      <c r="O37">
        <v>6.3724858859484576E-2</v>
      </c>
      <c r="P37">
        <f t="shared" si="12"/>
        <v>0.35490770046137643</v>
      </c>
      <c r="Q37">
        <f t="shared" si="5"/>
        <v>0.58136744067913892</v>
      </c>
      <c r="R37">
        <f t="shared" si="6"/>
        <v>1</v>
      </c>
      <c r="S37">
        <v>152.939661262763</v>
      </c>
      <c r="T37">
        <v>372.65308548444523</v>
      </c>
      <c r="U37">
        <f t="shared" si="13"/>
        <v>536.23887852376163</v>
      </c>
      <c r="V37">
        <v>0.22715924014108618</v>
      </c>
      <c r="W37">
        <f t="shared" si="14"/>
        <v>0.23105265724314566</v>
      </c>
    </row>
    <row r="38" spans="1:23">
      <c r="A38">
        <v>35</v>
      </c>
      <c r="B38">
        <f t="shared" si="0"/>
        <v>67.916666666666671</v>
      </c>
      <c r="C38">
        <f t="shared" si="1"/>
        <v>0.90453209182640526</v>
      </c>
      <c r="D38" s="21">
        <v>5.7807589453683597E-2</v>
      </c>
      <c r="E38">
        <f t="shared" si="7"/>
        <v>9.2856532155665916E-2</v>
      </c>
      <c r="F38">
        <f t="shared" si="2"/>
        <v>9.745466293671308E-2</v>
      </c>
      <c r="G38" s="22">
        <f t="shared" si="8"/>
        <v>5.7807589453683576E-2</v>
      </c>
      <c r="H38" s="21">
        <v>0.40698682676735898</v>
      </c>
      <c r="I38">
        <f t="shared" si="3"/>
        <v>2.8212770197333755E-2</v>
      </c>
      <c r="J38" s="22">
        <f t="shared" si="9"/>
        <v>0.40698682676735898</v>
      </c>
      <c r="K38">
        <f t="shared" si="10"/>
        <v>2.7818506454430292E-2</v>
      </c>
      <c r="L38">
        <v>1.0326785273163663E-3</v>
      </c>
      <c r="M38">
        <f t="shared" si="4"/>
        <v>2.7818506454430292E-2</v>
      </c>
      <c r="N38">
        <f t="shared" si="11"/>
        <v>0.40698682676735898</v>
      </c>
      <c r="O38">
        <v>5.7807589453683576E-2</v>
      </c>
      <c r="P38">
        <f t="shared" si="12"/>
        <v>0.34917923731367539</v>
      </c>
      <c r="Q38">
        <f t="shared" si="5"/>
        <v>0.59301317323264102</v>
      </c>
      <c r="R38">
        <f t="shared" si="6"/>
        <v>1</v>
      </c>
      <c r="S38">
        <v>138.73821468884057</v>
      </c>
      <c r="T38">
        <v>366.63819917935916</v>
      </c>
      <c r="U38">
        <f t="shared" si="13"/>
        <v>515.48458030770394</v>
      </c>
      <c r="V38">
        <v>0.21967953843071089</v>
      </c>
      <c r="W38">
        <f t="shared" si="14"/>
        <v>0.22341938928589855</v>
      </c>
    </row>
    <row r="39" spans="1:23">
      <c r="A39">
        <v>36</v>
      </c>
      <c r="B39">
        <f t="shared" si="0"/>
        <v>68</v>
      </c>
      <c r="C39">
        <f t="shared" si="1"/>
        <v>0.90194270566802259</v>
      </c>
      <c r="D39" s="21">
        <v>5.2410495288055303E-2</v>
      </c>
      <c r="E39">
        <f t="shared" si="7"/>
        <v>9.336307250715814E-2</v>
      </c>
      <c r="F39">
        <f t="shared" si="2"/>
        <v>9.8013209457519443E-2</v>
      </c>
      <c r="G39" s="22">
        <f t="shared" si="8"/>
        <v>5.2410495288055289E-2</v>
      </c>
      <c r="H39" s="21">
        <v>0.39563311891261899</v>
      </c>
      <c r="I39">
        <f t="shared" si="3"/>
        <v>2.8293503827887468E-2</v>
      </c>
      <c r="J39" s="22">
        <f t="shared" si="9"/>
        <v>0.39563311891261899</v>
      </c>
      <c r="K39">
        <f t="shared" si="10"/>
        <v>2.7896991027746454E-2</v>
      </c>
      <c r="L39">
        <v>1.1339622900035096E-3</v>
      </c>
      <c r="M39">
        <f t="shared" si="4"/>
        <v>2.7896991027746454E-2</v>
      </c>
      <c r="N39">
        <f t="shared" si="11"/>
        <v>0.39563311891261899</v>
      </c>
      <c r="O39">
        <v>5.2410495288055289E-2</v>
      </c>
      <c r="P39">
        <f t="shared" si="12"/>
        <v>0.34322262362456368</v>
      </c>
      <c r="Q39">
        <f t="shared" si="5"/>
        <v>0.60436688108738101</v>
      </c>
      <c r="R39">
        <f t="shared" si="6"/>
        <v>1</v>
      </c>
      <c r="S39">
        <v>125.78518869133269</v>
      </c>
      <c r="T39">
        <v>360.38375480579185</v>
      </c>
      <c r="U39">
        <f t="shared" si="13"/>
        <v>495.7726786826621</v>
      </c>
      <c r="V39">
        <v>0.21249149813696497</v>
      </c>
      <c r="W39">
        <f t="shared" si="14"/>
        <v>0.21608551828383793</v>
      </c>
    </row>
    <row r="40" spans="1:23">
      <c r="A40">
        <v>37</v>
      </c>
      <c r="B40">
        <f t="shared" si="0"/>
        <v>68.083333333333329</v>
      </c>
      <c r="C40">
        <f t="shared" si="1"/>
        <v>0.89936073209426526</v>
      </c>
      <c r="D40" s="21">
        <v>4.7491348470762897E-2</v>
      </c>
      <c r="E40">
        <f t="shared" si="7"/>
        <v>9.3858048664796967E-2</v>
      </c>
      <c r="F40">
        <f t="shared" si="2"/>
        <v>9.8559306034129907E-2</v>
      </c>
      <c r="G40" s="22">
        <f t="shared" si="8"/>
        <v>4.7491348470762883E-2</v>
      </c>
      <c r="H40" s="21">
        <v>0.38456587422064697</v>
      </c>
      <c r="I40">
        <f t="shared" si="3"/>
        <v>2.8372215783582077E-2</v>
      </c>
      <c r="J40" s="22">
        <f t="shared" si="9"/>
        <v>0.38456587422064697</v>
      </c>
      <c r="K40">
        <f t="shared" si="10"/>
        <v>2.7973504145431205E-2</v>
      </c>
      <c r="L40">
        <v>1.1339622900035096E-3</v>
      </c>
      <c r="M40">
        <f t="shared" si="4"/>
        <v>2.7973504145431205E-2</v>
      </c>
      <c r="N40">
        <f t="shared" si="11"/>
        <v>0.38456587422064697</v>
      </c>
      <c r="O40">
        <v>4.7491348470762883E-2</v>
      </c>
      <c r="P40">
        <f t="shared" si="12"/>
        <v>0.33707452574988411</v>
      </c>
      <c r="Q40">
        <f t="shared" si="5"/>
        <v>0.61543412577935297</v>
      </c>
      <c r="R40">
        <f t="shared" si="6"/>
        <v>1</v>
      </c>
      <c r="S40">
        <v>113.97923632983093</v>
      </c>
      <c r="T40">
        <v>353.92825203737834</v>
      </c>
      <c r="U40">
        <f t="shared" si="13"/>
        <v>477.03821593216691</v>
      </c>
      <c r="V40">
        <v>0.20558051468213712</v>
      </c>
      <c r="W40">
        <f t="shared" si="14"/>
        <v>0.20903600640955106</v>
      </c>
    </row>
    <row r="41" spans="1:23">
      <c r="A41">
        <v>38</v>
      </c>
      <c r="B41">
        <f t="shared" si="0"/>
        <v>68.166666666666671</v>
      </c>
      <c r="C41">
        <f t="shared" si="1"/>
        <v>0.89678614988527383</v>
      </c>
      <c r="D41" s="21">
        <v>4.3010918272547202E-2</v>
      </c>
      <c r="E41">
        <f t="shared" si="7"/>
        <v>9.4342029495624535E-2</v>
      </c>
      <c r="F41">
        <f t="shared" si="2"/>
        <v>9.909356021584767E-2</v>
      </c>
      <c r="G41" s="22">
        <f t="shared" si="8"/>
        <v>4.3010918272547188E-2</v>
      </c>
      <c r="H41" s="21">
        <v>0.37377951391431702</v>
      </c>
      <c r="I41">
        <f t="shared" si="3"/>
        <v>2.8449010060352733E-2</v>
      </c>
      <c r="J41" s="22">
        <f t="shared" si="9"/>
        <v>0.37377951391431702</v>
      </c>
      <c r="K41">
        <f t="shared" si="10"/>
        <v>2.8048147351060093E-2</v>
      </c>
      <c r="L41">
        <v>1.1339622900035096E-3</v>
      </c>
      <c r="M41">
        <f t="shared" si="4"/>
        <v>2.8048147351060093E-2</v>
      </c>
      <c r="N41">
        <f t="shared" si="11"/>
        <v>0.37377951391431702</v>
      </c>
      <c r="O41">
        <v>4.3010918272547188E-2</v>
      </c>
      <c r="P41">
        <f t="shared" si="12"/>
        <v>0.33076859564176986</v>
      </c>
      <c r="Q41">
        <f t="shared" si="5"/>
        <v>0.62622048608568304</v>
      </c>
      <c r="R41">
        <f t="shared" si="6"/>
        <v>1</v>
      </c>
      <c r="S41">
        <v>103.22620385411325</v>
      </c>
      <c r="T41">
        <v>347.30702542385836</v>
      </c>
      <c r="U41">
        <f t="shared" si="13"/>
        <v>459.22035882259047</v>
      </c>
      <c r="V41">
        <v>0.19893281407347174</v>
      </c>
      <c r="W41">
        <f t="shared" si="14"/>
        <v>0.20225666437780443</v>
      </c>
    </row>
    <row r="42" spans="1:23">
      <c r="A42">
        <v>39</v>
      </c>
      <c r="B42">
        <f t="shared" si="0"/>
        <v>68.25</v>
      </c>
      <c r="C42">
        <f t="shared" si="1"/>
        <v>0.89421893788193463</v>
      </c>
      <c r="D42" s="21">
        <v>3.8932814760657901E-2</v>
      </c>
      <c r="E42">
        <f t="shared" si="7"/>
        <v>9.4815541627072286E-2</v>
      </c>
      <c r="F42">
        <f t="shared" si="2"/>
        <v>9.9616534644421828E-2</v>
      </c>
      <c r="G42" s="22">
        <f t="shared" si="8"/>
        <v>3.8932814760657887E-2</v>
      </c>
      <c r="H42" s="21">
        <v>0.36326845481414499</v>
      </c>
      <c r="I42">
        <f t="shared" si="3"/>
        <v>2.8523982703206503E-2</v>
      </c>
      <c r="J42" s="22">
        <f t="shared" si="9"/>
        <v>0.36326845481414499</v>
      </c>
      <c r="K42">
        <f t="shared" si="10"/>
        <v>2.8121014418627355E-2</v>
      </c>
      <c r="L42">
        <v>1.1339622900035096E-3</v>
      </c>
      <c r="M42">
        <f t="shared" si="4"/>
        <v>2.8121014418627355E-2</v>
      </c>
      <c r="N42">
        <f t="shared" si="11"/>
        <v>0.36326845481414499</v>
      </c>
      <c r="O42">
        <v>3.8932814760657887E-2</v>
      </c>
      <c r="P42">
        <f t="shared" si="12"/>
        <v>0.32433564005348708</v>
      </c>
      <c r="Q42">
        <f t="shared" si="5"/>
        <v>0.63673154518585506</v>
      </c>
      <c r="R42">
        <f t="shared" si="6"/>
        <v>1</v>
      </c>
      <c r="S42">
        <v>93.438755425578933</v>
      </c>
      <c r="T42">
        <v>340.55242205616145</v>
      </c>
      <c r="U42">
        <f t="shared" si="13"/>
        <v>442.26220337985603</v>
      </c>
      <c r="V42">
        <v>0.19253541554005671</v>
      </c>
      <c r="W42">
        <f t="shared" si="14"/>
        <v>0.19573411480676423</v>
      </c>
    </row>
    <row r="43" spans="1:23">
      <c r="A43">
        <v>40</v>
      </c>
      <c r="B43">
        <f t="shared" si="0"/>
        <v>68.333333333333329</v>
      </c>
      <c r="C43">
        <f t="shared" si="1"/>
        <v>0.89165907498570507</v>
      </c>
      <c r="D43" s="21">
        <v>3.5223332238072003E-2</v>
      </c>
      <c r="E43">
        <f t="shared" si="7"/>
        <v>9.5279073588441787E-2</v>
      </c>
      <c r="F43">
        <f t="shared" si="2"/>
        <v>0.10012875144359919</v>
      </c>
      <c r="G43" s="22">
        <f t="shared" si="8"/>
        <v>3.5223332238071989E-2</v>
      </c>
      <c r="H43" s="21">
        <v>0.353027120740737</v>
      </c>
      <c r="I43">
        <f t="shared" si="3"/>
        <v>2.8597222602838569E-2</v>
      </c>
      <c r="J43" s="22">
        <f t="shared" si="9"/>
        <v>0.353027120740737</v>
      </c>
      <c r="K43">
        <f t="shared" si="10"/>
        <v>2.8192192131429761E-2</v>
      </c>
      <c r="L43">
        <v>1.1339622900035096E-3</v>
      </c>
      <c r="M43">
        <f t="shared" si="4"/>
        <v>2.8192192131429761E-2</v>
      </c>
      <c r="N43">
        <f t="shared" si="11"/>
        <v>0.353027120740737</v>
      </c>
      <c r="O43">
        <v>3.5223332238071989E-2</v>
      </c>
      <c r="P43">
        <f t="shared" si="12"/>
        <v>0.317803788502665</v>
      </c>
      <c r="Q43">
        <f t="shared" si="5"/>
        <v>0.64697287925926306</v>
      </c>
      <c r="R43">
        <f t="shared" si="6"/>
        <v>1</v>
      </c>
      <c r="S43">
        <v>84.535997371372773</v>
      </c>
      <c r="T43">
        <v>333.69397792779824</v>
      </c>
      <c r="U43">
        <f t="shared" si="13"/>
        <v>426.11057639045566</v>
      </c>
      <c r="V43">
        <v>0.18637609339702865</v>
      </c>
      <c r="W43">
        <f t="shared" si="14"/>
        <v>0.18945575446854268</v>
      </c>
    </row>
    <row r="44" spans="1:23">
      <c r="A44">
        <v>41</v>
      </c>
      <c r="B44">
        <f t="shared" si="0"/>
        <v>68.416666666666671</v>
      </c>
      <c r="C44">
        <f t="shared" si="1"/>
        <v>0.88910654015844148</v>
      </c>
      <c r="D44" s="21">
        <v>3.1851294174337602E-2</v>
      </c>
      <c r="E44">
        <f t="shared" si="7"/>
        <v>9.5733079452648973E-2</v>
      </c>
      <c r="F44">
        <f t="shared" si="2"/>
        <v>0.10063069608021195</v>
      </c>
      <c r="G44" s="22">
        <f t="shared" si="8"/>
        <v>3.1851294174337588E-2</v>
      </c>
      <c r="H44" s="21">
        <v>0.34304995264010801</v>
      </c>
      <c r="I44">
        <f t="shared" si="3"/>
        <v>2.8668812194422036E-2</v>
      </c>
      <c r="J44" s="22">
        <f t="shared" si="9"/>
        <v>0.34304995264010801</v>
      </c>
      <c r="K44">
        <f t="shared" si="10"/>
        <v>2.8261760965260785E-2</v>
      </c>
      <c r="L44">
        <v>1.1339622900035096E-3</v>
      </c>
      <c r="M44">
        <f t="shared" si="4"/>
        <v>2.8261760965260785E-2</v>
      </c>
      <c r="N44">
        <f t="shared" si="11"/>
        <v>0.34304995264010801</v>
      </c>
      <c r="O44">
        <v>3.1851294174337588E-2</v>
      </c>
      <c r="P44">
        <f t="shared" si="12"/>
        <v>0.31119865846577044</v>
      </c>
      <c r="Q44">
        <f t="shared" si="5"/>
        <v>0.65695004735989193</v>
      </c>
      <c r="R44">
        <f t="shared" si="6"/>
        <v>1</v>
      </c>
      <c r="S44">
        <v>76.443106018410205</v>
      </c>
      <c r="T44">
        <v>326.75859138905895</v>
      </c>
      <c r="U44">
        <f t="shared" si="13"/>
        <v>410.71583635332013</v>
      </c>
      <c r="V44">
        <v>0.18044333868886853</v>
      </c>
      <c r="W44">
        <f t="shared" si="14"/>
        <v>0.18340971604294859</v>
      </c>
    </row>
    <row r="45" spans="1:23">
      <c r="A45">
        <v>42</v>
      </c>
      <c r="B45">
        <f t="shared" si="0"/>
        <v>68.5</v>
      </c>
      <c r="C45">
        <f t="shared" si="1"/>
        <v>0.8865613124222258</v>
      </c>
      <c r="D45" s="21">
        <v>2.8787900974990101E-2</v>
      </c>
      <c r="E45">
        <f t="shared" si="7"/>
        <v>9.6177982049334143E-2</v>
      </c>
      <c r="F45">
        <f t="shared" si="2"/>
        <v>0.1011228207718589</v>
      </c>
      <c r="G45" s="22">
        <f t="shared" si="8"/>
        <v>2.8787900974990087E-2</v>
      </c>
      <c r="H45" s="21">
        <v>0.33333141757041002</v>
      </c>
      <c r="I45">
        <f t="shared" si="3"/>
        <v>2.873882807278651E-2</v>
      </c>
      <c r="J45" s="22">
        <f t="shared" si="9"/>
        <v>0.33333141757041002</v>
      </c>
      <c r="K45">
        <f t="shared" si="10"/>
        <v>2.8329795689823856E-2</v>
      </c>
      <c r="L45">
        <v>1.1339622900035096E-3</v>
      </c>
      <c r="M45">
        <f t="shared" si="4"/>
        <v>2.8329795689823856E-2</v>
      </c>
      <c r="N45">
        <f t="shared" si="11"/>
        <v>0.33333141757041002</v>
      </c>
      <c r="O45">
        <v>2.8787900974990087E-2</v>
      </c>
      <c r="P45">
        <f t="shared" si="12"/>
        <v>0.30454351659541995</v>
      </c>
      <c r="Q45">
        <f t="shared" si="5"/>
        <v>0.66666858242958993</v>
      </c>
      <c r="R45">
        <f t="shared" si="6"/>
        <v>1</v>
      </c>
      <c r="S45">
        <v>69.090962339976215</v>
      </c>
      <c r="T45">
        <v>319.77069242519093</v>
      </c>
      <c r="U45">
        <f t="shared" si="13"/>
        <v>396.03167608631816</v>
      </c>
      <c r="V45">
        <v>0.17472632105820224</v>
      </c>
      <c r="W45">
        <f t="shared" si="14"/>
        <v>0.17758482987353538</v>
      </c>
    </row>
    <row r="46" spans="1:23">
      <c r="A46">
        <v>43</v>
      </c>
      <c r="B46">
        <f t="shared" si="0"/>
        <v>68.583333333333329</v>
      </c>
      <c r="C46">
        <f t="shared" si="1"/>
        <v>0.88402337085919236</v>
      </c>
      <c r="D46" s="21">
        <v>2.6006581649027301E-2</v>
      </c>
      <c r="E46">
        <f t="shared" si="7"/>
        <v>9.6614175808757641E-2</v>
      </c>
      <c r="F46">
        <f t="shared" si="2"/>
        <v>0.10160554750391741</v>
      </c>
      <c r="G46" s="22">
        <f t="shared" si="8"/>
        <v>2.6006581649027288E-2</v>
      </c>
      <c r="H46" s="21">
        <v>0.32386601667120202</v>
      </c>
      <c r="I46">
        <f t="shared" si="3"/>
        <v>2.8807341535609082E-2</v>
      </c>
      <c r="J46" s="22">
        <f t="shared" si="9"/>
        <v>0.32386601667120202</v>
      </c>
      <c r="K46">
        <f t="shared" si="10"/>
        <v>2.8396365899738818E-2</v>
      </c>
      <c r="L46">
        <v>1.1339622900035096E-3</v>
      </c>
      <c r="M46">
        <f t="shared" si="4"/>
        <v>2.8396365899738818E-2</v>
      </c>
      <c r="N46">
        <f t="shared" si="11"/>
        <v>0.32386601667120202</v>
      </c>
      <c r="O46">
        <v>2.6006581649027288E-2</v>
      </c>
      <c r="P46">
        <f t="shared" si="12"/>
        <v>0.29785943502217471</v>
      </c>
      <c r="Q46">
        <f t="shared" si="5"/>
        <v>0.67613398332879804</v>
      </c>
      <c r="R46">
        <f t="shared" si="6"/>
        <v>1</v>
      </c>
      <c r="S46">
        <v>62.415795957665487</v>
      </c>
      <c r="T46">
        <v>312.75240677328344</v>
      </c>
      <c r="U46">
        <f t="shared" si="13"/>
        <v>382.01492874805803</v>
      </c>
      <c r="V46">
        <v>0.16921485119732865</v>
      </c>
      <c r="W46">
        <f t="shared" si="14"/>
        <v>0.17197058612776545</v>
      </c>
    </row>
    <row r="47" spans="1:23">
      <c r="A47">
        <v>44</v>
      </c>
      <c r="B47">
        <f t="shared" si="0"/>
        <v>68.666666666666671</v>
      </c>
      <c r="C47">
        <f t="shared" si="1"/>
        <v>0.88149269461135704</v>
      </c>
      <c r="D47" s="21">
        <v>2.3482850190998501E-2</v>
      </c>
      <c r="E47">
        <f t="shared" si="7"/>
        <v>9.7042029286582232E-2</v>
      </c>
      <c r="F47">
        <f t="shared" si="2"/>
        <v>0.10207927070880546</v>
      </c>
      <c r="G47" s="22">
        <f t="shared" si="8"/>
        <v>2.3482850190998491E-2</v>
      </c>
      <c r="H47" s="21">
        <v>0.31464829222146201</v>
      </c>
      <c r="I47">
        <f t="shared" si="3"/>
        <v>2.8874419064698328E-2</v>
      </c>
      <c r="J47" s="22">
        <f t="shared" si="9"/>
        <v>0.31464829222146201</v>
      </c>
      <c r="K47">
        <f t="shared" si="10"/>
        <v>2.8461536485003047E-2</v>
      </c>
      <c r="L47">
        <v>1.1339622900035096E-3</v>
      </c>
      <c r="M47">
        <f t="shared" si="4"/>
        <v>2.8461536485003047E-2</v>
      </c>
      <c r="N47">
        <f t="shared" si="11"/>
        <v>0.31464829222146201</v>
      </c>
      <c r="O47">
        <v>2.3482850190998491E-2</v>
      </c>
      <c r="P47">
        <f t="shared" si="12"/>
        <v>0.29116544203046352</v>
      </c>
      <c r="Q47">
        <f t="shared" si="5"/>
        <v>0.68535170777853804</v>
      </c>
      <c r="R47">
        <f t="shared" si="6"/>
        <v>1</v>
      </c>
      <c r="S47">
        <v>56.358840458396379</v>
      </c>
      <c r="T47">
        <v>305.7237141319867</v>
      </c>
      <c r="U47">
        <f t="shared" si="13"/>
        <v>368.625378660666</v>
      </c>
      <c r="V47">
        <v>0.16389934416421059</v>
      </c>
      <c r="W47">
        <f t="shared" si="14"/>
        <v>0.16655709768076962</v>
      </c>
    </row>
    <row r="48" spans="1:23">
      <c r="A48">
        <v>45</v>
      </c>
      <c r="B48">
        <f t="shared" si="0"/>
        <v>68.75</v>
      </c>
      <c r="C48">
        <f t="shared" si="1"/>
        <v>0.87896926288044619</v>
      </c>
      <c r="D48" s="21">
        <v>2.11941672895757E-2</v>
      </c>
      <c r="E48">
        <f t="shared" si="7"/>
        <v>9.7461887411780412E-2</v>
      </c>
      <c r="F48">
        <f t="shared" si="2"/>
        <v>0.10254435965211529</v>
      </c>
      <c r="G48" s="22">
        <f t="shared" si="8"/>
        <v>2.119416728957569E-2</v>
      </c>
      <c r="H48" s="21">
        <v>0.30567283387989702</v>
      </c>
      <c r="I48">
        <f t="shared" si="3"/>
        <v>2.8940122753507151E-2</v>
      </c>
      <c r="J48" s="22">
        <f t="shared" si="9"/>
        <v>0.30567283387989702</v>
      </c>
      <c r="K48">
        <f t="shared" si="10"/>
        <v>2.8525368048868072E-2</v>
      </c>
      <c r="L48">
        <v>1.1339622900035096E-3</v>
      </c>
      <c r="M48">
        <f t="shared" si="4"/>
        <v>2.8525368048868072E-2</v>
      </c>
      <c r="N48">
        <f t="shared" si="11"/>
        <v>0.30567283387989702</v>
      </c>
      <c r="O48">
        <v>2.119416728957569E-2</v>
      </c>
      <c r="P48">
        <f t="shared" si="12"/>
        <v>0.28447866659032134</v>
      </c>
      <c r="Q48">
        <f t="shared" si="5"/>
        <v>0.69432716612010292</v>
      </c>
      <c r="R48">
        <f t="shared" si="6"/>
        <v>1</v>
      </c>
      <c r="S48">
        <v>50.866001494981653</v>
      </c>
      <c r="T48">
        <v>298.70259991983738</v>
      </c>
      <c r="U48">
        <f t="shared" si="13"/>
        <v>355.82557800260111</v>
      </c>
      <c r="V48">
        <v>0.15877078378102971</v>
      </c>
      <c r="W48">
        <f t="shared" si="14"/>
        <v>0.16133506397262015</v>
      </c>
    </row>
    <row r="49" spans="1:23">
      <c r="A49">
        <v>46</v>
      </c>
      <c r="B49">
        <f t="shared" si="0"/>
        <v>68.833333333333329</v>
      </c>
      <c r="C49">
        <f t="shared" si="1"/>
        <v>0.87645305492772319</v>
      </c>
      <c r="D49" s="21">
        <v>1.9119807802641699E-2</v>
      </c>
      <c r="E49">
        <f t="shared" si="7"/>
        <v>9.7874073493525282E-2</v>
      </c>
      <c r="F49">
        <f t="shared" si="2"/>
        <v>0.10300116056351276</v>
      </c>
      <c r="G49" s="22">
        <f t="shared" si="8"/>
        <v>1.9119807802641688E-2</v>
      </c>
      <c r="H49" s="21">
        <v>0.296934284190146</v>
      </c>
      <c r="I49">
        <f t="shared" si="3"/>
        <v>2.9004510688061064E-2</v>
      </c>
      <c r="J49" s="22">
        <f t="shared" si="9"/>
        <v>0.296934284190146</v>
      </c>
      <c r="K49">
        <f t="shared" si="10"/>
        <v>2.8587917280161412E-2</v>
      </c>
      <c r="L49">
        <v>1.1339622900035096E-3</v>
      </c>
      <c r="M49">
        <f t="shared" si="4"/>
        <v>2.8587917280161412E-2</v>
      </c>
      <c r="N49">
        <f t="shared" si="11"/>
        <v>0.296934284190146</v>
      </c>
      <c r="O49">
        <v>1.9119807802641688E-2</v>
      </c>
      <c r="P49">
        <f t="shared" si="12"/>
        <v>0.27781447638750434</v>
      </c>
      <c r="Q49">
        <f t="shared" si="5"/>
        <v>0.703065715809854</v>
      </c>
      <c r="R49">
        <f t="shared" si="6"/>
        <v>1</v>
      </c>
      <c r="S49">
        <v>45.887538726340054</v>
      </c>
      <c r="T49">
        <v>291.70520020687957</v>
      </c>
      <c r="U49">
        <f t="shared" si="13"/>
        <v>343.58067017401936</v>
      </c>
      <c r="V49">
        <v>0.15382068827981268</v>
      </c>
      <c r="W49">
        <f t="shared" si="14"/>
        <v>0.15629573603042118</v>
      </c>
    </row>
    <row r="50" spans="1:23">
      <c r="A50">
        <v>47</v>
      </c>
      <c r="B50">
        <f t="shared" si="0"/>
        <v>68.916666666666671</v>
      </c>
      <c r="C50">
        <f t="shared" si="1"/>
        <v>0.87394405007382159</v>
      </c>
      <c r="D50" s="21">
        <v>1.7240734295328099E-2</v>
      </c>
      <c r="E50">
        <f t="shared" si="7"/>
        <v>9.8278891017616665E-2</v>
      </c>
      <c r="F50">
        <f t="shared" si="2"/>
        <v>0.10344999854469748</v>
      </c>
      <c r="G50" s="22">
        <f t="shared" si="8"/>
        <v>1.7240734295328089E-2</v>
      </c>
      <c r="H50" s="21">
        <v>0.288427343424078</v>
      </c>
      <c r="I50">
        <f t="shared" si="3"/>
        <v>2.9067637287228575E-2</v>
      </c>
      <c r="J50" s="22">
        <f t="shared" si="9"/>
        <v>0.288427343424078</v>
      </c>
      <c r="K50">
        <f t="shared" si="10"/>
        <v>2.864923728585167E-2</v>
      </c>
      <c r="L50">
        <v>1.1339622900035096E-3</v>
      </c>
      <c r="M50">
        <f t="shared" si="4"/>
        <v>2.864923728585167E-2</v>
      </c>
      <c r="N50">
        <f t="shared" si="11"/>
        <v>0.288427343424078</v>
      </c>
      <c r="O50">
        <v>1.7240734295328089E-2</v>
      </c>
      <c r="P50">
        <f t="shared" si="12"/>
        <v>0.27118660912874992</v>
      </c>
      <c r="Q50">
        <f t="shared" si="5"/>
        <v>0.71157265657592195</v>
      </c>
      <c r="R50">
        <f t="shared" si="6"/>
        <v>1</v>
      </c>
      <c r="S50">
        <v>41.37776230878741</v>
      </c>
      <c r="T50">
        <v>284.74593958518744</v>
      </c>
      <c r="U50">
        <f t="shared" si="13"/>
        <v>331.85822041359722</v>
      </c>
      <c r="V50">
        <v>0.14904107731473087</v>
      </c>
      <c r="W50">
        <f t="shared" si="14"/>
        <v>0.15143088279727179</v>
      </c>
    </row>
    <row r="51" spans="1:23">
      <c r="A51">
        <v>48</v>
      </c>
      <c r="B51">
        <f t="shared" si="0"/>
        <v>69</v>
      </c>
      <c r="C51">
        <f t="shared" si="1"/>
        <v>0.8714422276985726</v>
      </c>
      <c r="D51" s="21">
        <v>1.5539476818086701E-2</v>
      </c>
      <c r="E51">
        <f t="shared" si="7"/>
        <v>9.8676625258496409E-2</v>
      </c>
      <c r="F51">
        <f t="shared" si="2"/>
        <v>0.10389117928196866</v>
      </c>
      <c r="G51" s="22">
        <f t="shared" si="8"/>
        <v>1.5539476818086692E-2</v>
      </c>
      <c r="H51" s="21">
        <v>0.28014677382823</v>
      </c>
      <c r="I51">
        <f t="shared" si="3"/>
        <v>2.9129553607470288E-2</v>
      </c>
      <c r="J51" s="22">
        <f t="shared" si="9"/>
        <v>0.28014677382823</v>
      </c>
      <c r="K51">
        <f t="shared" si="10"/>
        <v>2.8709377888881282E-2</v>
      </c>
      <c r="L51">
        <v>1.2257718355900282E-3</v>
      </c>
      <c r="M51">
        <f t="shared" si="4"/>
        <v>2.8709377888881282E-2</v>
      </c>
      <c r="N51">
        <f t="shared" si="11"/>
        <v>0.28014677382823</v>
      </c>
      <c r="O51">
        <v>1.5539476818086692E-2</v>
      </c>
      <c r="P51">
        <f t="shared" si="12"/>
        <v>0.26460729701014329</v>
      </c>
      <c r="Q51">
        <f t="shared" si="5"/>
        <v>0.71985322617177006</v>
      </c>
      <c r="R51">
        <f t="shared" si="6"/>
        <v>1</v>
      </c>
      <c r="S51">
        <v>37.294744363408064</v>
      </c>
      <c r="T51">
        <v>277.83766186065048</v>
      </c>
      <c r="U51">
        <f t="shared" si="13"/>
        <v>320.62805405901668</v>
      </c>
      <c r="V51">
        <v>0.14442444042317926</v>
      </c>
      <c r="W51">
        <f t="shared" si="14"/>
        <v>0.14673275886895507</v>
      </c>
    </row>
    <row r="52" spans="1:23">
      <c r="A52">
        <v>49</v>
      </c>
      <c r="B52">
        <f t="shared" si="0"/>
        <v>69.083333333333329</v>
      </c>
      <c r="C52">
        <f t="shared" si="1"/>
        <v>0.86894756724083599</v>
      </c>
      <c r="D52" s="21">
        <v>1.4000019003341699E-2</v>
      </c>
      <c r="E52">
        <f t="shared" si="7"/>
        <v>9.9067544729253498E-2</v>
      </c>
      <c r="F52">
        <f t="shared" si="2"/>
        <v>0.10432499058708741</v>
      </c>
      <c r="G52" s="22">
        <f t="shared" si="8"/>
        <v>1.400001900334169E-2</v>
      </c>
      <c r="H52" s="21">
        <v>0.27208740333135201</v>
      </c>
      <c r="I52">
        <f t="shared" si="3"/>
        <v>2.9190307616423945E-2</v>
      </c>
      <c r="J52" s="22">
        <f t="shared" si="9"/>
        <v>0.27208740333135201</v>
      </c>
      <c r="K52">
        <f t="shared" si="10"/>
        <v>2.8768385895528992E-2</v>
      </c>
      <c r="L52">
        <v>1.2257718355900282E-3</v>
      </c>
      <c r="M52">
        <f t="shared" si="4"/>
        <v>2.8768385895528992E-2</v>
      </c>
      <c r="N52">
        <f t="shared" si="11"/>
        <v>0.27208740333135201</v>
      </c>
      <c r="O52">
        <v>1.400001900334169E-2</v>
      </c>
      <c r="P52">
        <f t="shared" si="12"/>
        <v>0.25808738432801032</v>
      </c>
      <c r="Q52">
        <f t="shared" si="5"/>
        <v>0.72791259666864794</v>
      </c>
      <c r="R52">
        <f t="shared" si="6"/>
        <v>1</v>
      </c>
      <c r="S52">
        <v>33.600045608020054</v>
      </c>
      <c r="T52">
        <v>270.99175354441081</v>
      </c>
      <c r="U52">
        <f t="shared" si="13"/>
        <v>309.8621026882447</v>
      </c>
      <c r="V52">
        <v>0.13996370698661167</v>
      </c>
      <c r="W52">
        <f t="shared" si="14"/>
        <v>0.14219407370489545</v>
      </c>
    </row>
    <row r="53" spans="1:23">
      <c r="A53">
        <v>50</v>
      </c>
      <c r="B53">
        <f t="shared" si="0"/>
        <v>69.166666666666671</v>
      </c>
      <c r="C53">
        <f t="shared" si="1"/>
        <v>0.86646004819833244</v>
      </c>
      <c r="D53" s="21">
        <v>1.26076904785783E-2</v>
      </c>
      <c r="E53">
        <f t="shared" si="7"/>
        <v>9.9451902488922439E-2</v>
      </c>
      <c r="F53">
        <f t="shared" si="2"/>
        <v>0.10475170378685807</v>
      </c>
      <c r="G53" s="22">
        <f t="shared" si="8"/>
        <v>1.2607690478578291E-2</v>
      </c>
      <c r="H53" s="21">
        <v>0.26424412876484799</v>
      </c>
      <c r="I53">
        <f t="shared" si="3"/>
        <v>2.9249944439087756E-2</v>
      </c>
      <c r="J53" s="22">
        <f t="shared" si="9"/>
        <v>0.26424412876484799</v>
      </c>
      <c r="K53">
        <f t="shared" si="10"/>
        <v>2.8826305335981961E-2</v>
      </c>
      <c r="L53">
        <v>1.2257718355900282E-3</v>
      </c>
      <c r="M53">
        <f t="shared" si="4"/>
        <v>2.8826305335981961E-2</v>
      </c>
      <c r="N53">
        <f t="shared" si="11"/>
        <v>0.26424412876484799</v>
      </c>
      <c r="O53">
        <v>1.2607690478578291E-2</v>
      </c>
      <c r="P53">
        <f t="shared" si="12"/>
        <v>0.25163643828626969</v>
      </c>
      <c r="Q53">
        <f t="shared" si="5"/>
        <v>0.73575587123515196</v>
      </c>
      <c r="R53">
        <f t="shared" si="6"/>
        <v>1</v>
      </c>
      <c r="S53">
        <v>30.258457148587897</v>
      </c>
      <c r="T53">
        <v>264.21826020058319</v>
      </c>
      <c r="U53">
        <f t="shared" si="13"/>
        <v>299.53425825080103</v>
      </c>
      <c r="V53">
        <v>0.13565221771642591</v>
      </c>
      <c r="W53">
        <f t="shared" si="14"/>
        <v>0.13780796235151879</v>
      </c>
    </row>
    <row r="54" spans="1:23">
      <c r="A54">
        <v>51</v>
      </c>
      <c r="B54">
        <f t="shared" si="0"/>
        <v>69.25</v>
      </c>
      <c r="C54">
        <f t="shared" si="1"/>
        <v>0.86397965012747313</v>
      </c>
      <c r="D54" s="21">
        <v>1.13490655283058E-2</v>
      </c>
      <c r="E54">
        <f t="shared" si="7"/>
        <v>9.9829937323653861E-2</v>
      </c>
      <c r="F54">
        <f t="shared" si="2"/>
        <v>0.10517157497896708</v>
      </c>
      <c r="G54" s="22">
        <f t="shared" si="8"/>
        <v>1.1349065528305793E-2</v>
      </c>
      <c r="H54" s="21">
        <v>0.256611918642493</v>
      </c>
      <c r="I54">
        <f t="shared" si="3"/>
        <v>2.9308506579854395E-2</v>
      </c>
      <c r="J54" s="22">
        <f t="shared" si="9"/>
        <v>0.256611918642493</v>
      </c>
      <c r="K54">
        <f t="shared" si="10"/>
        <v>2.8883177681298333E-2</v>
      </c>
      <c r="L54">
        <v>1.2257718355900282E-3</v>
      </c>
      <c r="M54">
        <f t="shared" si="4"/>
        <v>2.8883177681298333E-2</v>
      </c>
      <c r="N54">
        <f t="shared" si="11"/>
        <v>0.256611918642493</v>
      </c>
      <c r="O54">
        <v>1.1349065528305793E-2</v>
      </c>
      <c r="P54">
        <f t="shared" si="12"/>
        <v>0.24526285311418722</v>
      </c>
      <c r="Q54">
        <f t="shared" si="5"/>
        <v>0.743388081357507</v>
      </c>
      <c r="R54">
        <f t="shared" si="6"/>
        <v>1</v>
      </c>
      <c r="S54">
        <v>27.237757267933905</v>
      </c>
      <c r="T54">
        <v>257.52599576989655</v>
      </c>
      <c r="U54">
        <f t="shared" si="13"/>
        <v>289.62023519350078</v>
      </c>
      <c r="V54">
        <v>0.13148369766917212</v>
      </c>
      <c r="W54">
        <f t="shared" si="14"/>
        <v>0.133567957692799</v>
      </c>
    </row>
    <row r="55" spans="1:23">
      <c r="A55">
        <v>52</v>
      </c>
      <c r="B55">
        <f t="shared" si="0"/>
        <v>69.333333333333329</v>
      </c>
      <c r="C55">
        <f t="shared" si="1"/>
        <v>0.86150635264319342</v>
      </c>
      <c r="D55" s="21">
        <v>1.02118678849585E-2</v>
      </c>
      <c r="E55">
        <f t="shared" si="7"/>
        <v>0.1002018748161253</v>
      </c>
      <c r="F55">
        <f t="shared" si="2"/>
        <v>0.10558484616928439</v>
      </c>
      <c r="G55" s="22">
        <f t="shared" si="8"/>
        <v>1.0211867884958493E-2</v>
      </c>
      <c r="H55" s="21">
        <v>0.249185815541068</v>
      </c>
      <c r="I55">
        <f t="shared" si="3"/>
        <v>2.9366034123169536E-2</v>
      </c>
      <c r="J55" s="22">
        <f t="shared" si="9"/>
        <v>0.249185815541068</v>
      </c>
      <c r="K55">
        <f t="shared" si="10"/>
        <v>2.8939042039473284E-2</v>
      </c>
      <c r="L55">
        <v>1.2257718355900282E-3</v>
      </c>
      <c r="M55">
        <f t="shared" si="4"/>
        <v>2.8939042039473284E-2</v>
      </c>
      <c r="N55">
        <f t="shared" si="11"/>
        <v>0.249185815541068</v>
      </c>
      <c r="O55">
        <v>1.0211867884958493E-2</v>
      </c>
      <c r="P55">
        <f t="shared" si="12"/>
        <v>0.23897394765610952</v>
      </c>
      <c r="Q55">
        <f t="shared" si="5"/>
        <v>0.750814184458932</v>
      </c>
      <c r="R55">
        <f t="shared" si="6"/>
        <v>1</v>
      </c>
      <c r="S55">
        <v>24.508482923900385</v>
      </c>
      <c r="T55">
        <v>250.92264503891499</v>
      </c>
      <c r="U55">
        <f t="shared" si="13"/>
        <v>280.09744050032293</v>
      </c>
      <c r="V55">
        <v>0.12745223077832238</v>
      </c>
      <c r="W55">
        <f t="shared" si="14"/>
        <v>0.12946796422374723</v>
      </c>
    </row>
    <row r="56" spans="1:23">
      <c r="A56">
        <v>53</v>
      </c>
      <c r="B56">
        <f t="shared" si="0"/>
        <v>69.416666666666671</v>
      </c>
      <c r="C56">
        <f t="shared" si="1"/>
        <v>0.85904013541878432</v>
      </c>
      <c r="D56" s="21">
        <v>9.1848814875333008E-3</v>
      </c>
      <c r="E56">
        <f t="shared" si="7"/>
        <v>0.10056792831582673</v>
      </c>
      <c r="F56">
        <f t="shared" si="2"/>
        <v>0.10599174630400775</v>
      </c>
      <c r="G56" s="22">
        <f t="shared" si="8"/>
        <v>9.1848814875332939E-3</v>
      </c>
      <c r="H56" s="21">
        <v>0.241960938119367</v>
      </c>
      <c r="I56">
        <f t="shared" si="3"/>
        <v>2.942256491527033E-2</v>
      </c>
      <c r="J56" s="22">
        <f t="shared" si="9"/>
        <v>0.241960938119367</v>
      </c>
      <c r="K56">
        <f t="shared" si="10"/>
        <v>2.8993935333009646E-2</v>
      </c>
      <c r="L56">
        <v>1.2257718355900282E-3</v>
      </c>
      <c r="M56">
        <f t="shared" si="4"/>
        <v>2.8993935333009646E-2</v>
      </c>
      <c r="N56">
        <f t="shared" si="11"/>
        <v>0.241960938119367</v>
      </c>
      <c r="O56">
        <v>9.1848814875332939E-3</v>
      </c>
      <c r="P56">
        <f t="shared" si="12"/>
        <v>0.23277605663183371</v>
      </c>
      <c r="Q56">
        <f t="shared" si="5"/>
        <v>0.75803906188063297</v>
      </c>
      <c r="R56">
        <f t="shared" si="6"/>
        <v>1</v>
      </c>
      <c r="S56">
        <v>22.043715570079904</v>
      </c>
      <c r="T56">
        <v>244.41485946342539</v>
      </c>
      <c r="U56">
        <f t="shared" si="13"/>
        <v>270.94485149816035</v>
      </c>
      <c r="V56">
        <v>0.12355223587619282</v>
      </c>
      <c r="W56">
        <f t="shared" si="14"/>
        <v>0.1255022333272576</v>
      </c>
    </row>
    <row r="57" spans="1:23">
      <c r="A57">
        <v>54</v>
      </c>
      <c r="B57">
        <f t="shared" si="0"/>
        <v>69.5</v>
      </c>
      <c r="C57">
        <f t="shared" si="1"/>
        <v>0.85658097818572543</v>
      </c>
      <c r="D57" s="21">
        <v>8.2578670149385108E-3</v>
      </c>
      <c r="E57">
        <f t="shared" si="7"/>
        <v>0.10092829982107365</v>
      </c>
      <c r="F57">
        <f t="shared" si="2"/>
        <v>0.1063924922081395</v>
      </c>
      <c r="G57" s="22">
        <f t="shared" si="8"/>
        <v>8.2578670149385039E-3</v>
      </c>
      <c r="H57" s="21">
        <v>0.234932482809349</v>
      </c>
      <c r="I57">
        <f t="shared" si="3"/>
        <v>2.9478134729080892E-2</v>
      </c>
      <c r="J57" s="22">
        <f t="shared" si="9"/>
        <v>0.234932482809349</v>
      </c>
      <c r="K57">
        <f t="shared" si="10"/>
        <v>2.9047892460024483E-2</v>
      </c>
      <c r="L57">
        <v>1.2257718355900282E-3</v>
      </c>
      <c r="M57">
        <f t="shared" si="4"/>
        <v>2.9047892460024483E-2</v>
      </c>
      <c r="N57">
        <f t="shared" si="11"/>
        <v>0.234932482809349</v>
      </c>
      <c r="O57">
        <v>8.2578670149385039E-3</v>
      </c>
      <c r="P57">
        <f t="shared" si="12"/>
        <v>0.22667461579441051</v>
      </c>
      <c r="Q57">
        <f t="shared" si="5"/>
        <v>0.76506751719065103</v>
      </c>
      <c r="R57">
        <f t="shared" si="6"/>
        <v>1</v>
      </c>
      <c r="S57">
        <v>19.818880835852408</v>
      </c>
      <c r="T57">
        <v>238.00834658413103</v>
      </c>
      <c r="U57">
        <f t="shared" si="13"/>
        <v>262.14290122674436</v>
      </c>
      <c r="V57">
        <v>0.11977844416885729</v>
      </c>
      <c r="W57">
        <f t="shared" si="14"/>
        <v>0.12166534002252505</v>
      </c>
    </row>
    <row r="58" spans="1:23">
      <c r="A58">
        <v>55</v>
      </c>
      <c r="B58">
        <f t="shared" si="0"/>
        <v>69.583333333333329</v>
      </c>
      <c r="C58">
        <f t="shared" si="1"/>
        <v>0.85412886073351901</v>
      </c>
      <c r="D58" s="21">
        <v>7.4214839771896404E-3</v>
      </c>
      <c r="E58">
        <f t="shared" si="7"/>
        <v>0.10128318078213783</v>
      </c>
      <c r="F58">
        <f t="shared" si="2"/>
        <v>0.10678728944023297</v>
      </c>
      <c r="G58" s="22">
        <f t="shared" si="8"/>
        <v>7.4214839771896343E-3</v>
      </c>
      <c r="H58" s="21">
        <v>0.22809572520992299</v>
      </c>
      <c r="I58">
        <f t="shared" si="3"/>
        <v>2.9532777414160067E-2</v>
      </c>
      <c r="J58" s="22">
        <f t="shared" si="9"/>
        <v>0.22809572520992299</v>
      </c>
      <c r="K58">
        <f t="shared" si="10"/>
        <v>2.9100946440744568E-2</v>
      </c>
      <c r="L58">
        <v>1.2257718355900282E-3</v>
      </c>
      <c r="M58">
        <f t="shared" si="4"/>
        <v>2.9100946440744568E-2</v>
      </c>
      <c r="N58">
        <f t="shared" si="11"/>
        <v>0.22809572520992299</v>
      </c>
      <c r="O58">
        <v>7.4214839771896343E-3</v>
      </c>
      <c r="P58">
        <f t="shared" si="12"/>
        <v>0.22067424123273335</v>
      </c>
      <c r="Q58">
        <f t="shared" si="5"/>
        <v>0.77190427479007706</v>
      </c>
      <c r="R58">
        <f t="shared" si="6"/>
        <v>1</v>
      </c>
      <c r="S58">
        <v>17.811561545255124</v>
      </c>
      <c r="T58">
        <v>231.70795329437001</v>
      </c>
      <c r="U58">
        <f t="shared" si="13"/>
        <v>253.67337112980431</v>
      </c>
      <c r="V58">
        <v>0.1161258781185746</v>
      </c>
      <c r="W58">
        <f t="shared" si="14"/>
        <v>0.11795216114371594</v>
      </c>
    </row>
    <row r="59" spans="1:23">
      <c r="A59">
        <v>56</v>
      </c>
      <c r="B59">
        <f t="shared" si="0"/>
        <v>69.666666666666671</v>
      </c>
      <c r="C59">
        <f t="shared" si="1"/>
        <v>0.85168376290952408</v>
      </c>
      <c r="D59" s="21">
        <v>6.6672181304738903E-3</v>
      </c>
      <c r="E59">
        <f t="shared" si="7"/>
        <v>0.10163275283407336</v>
      </c>
      <c r="F59">
        <f t="shared" si="2"/>
        <v>0.10717633307250787</v>
      </c>
      <c r="G59" s="22">
        <f t="shared" si="8"/>
        <v>6.6672181304738842E-3</v>
      </c>
      <c r="H59" s="21">
        <v>0.22144602121097701</v>
      </c>
      <c r="I59">
        <f t="shared" si="3"/>
        <v>2.9586525033200778E-2</v>
      </c>
      <c r="J59" s="22">
        <f t="shared" si="9"/>
        <v>0.22144602121097701</v>
      </c>
      <c r="K59">
        <f t="shared" si="10"/>
        <v>2.915312855085761E-2</v>
      </c>
      <c r="L59">
        <v>1.2257718355900282E-3</v>
      </c>
      <c r="M59">
        <f t="shared" si="4"/>
        <v>2.915312855085761E-2</v>
      </c>
      <c r="N59">
        <f t="shared" si="11"/>
        <v>0.22144602121097701</v>
      </c>
      <c r="O59">
        <v>6.6672181304738842E-3</v>
      </c>
      <c r="P59">
        <f t="shared" si="12"/>
        <v>0.21477880308050312</v>
      </c>
      <c r="Q59">
        <f t="shared" si="5"/>
        <v>0.77855397878902299</v>
      </c>
      <c r="R59">
        <f t="shared" si="6"/>
        <v>1</v>
      </c>
      <c r="S59">
        <v>16.001323513137322</v>
      </c>
      <c r="T59">
        <v>225.51774323452827</v>
      </c>
      <c r="U59">
        <f t="shared" si="13"/>
        <v>245.51929079364535</v>
      </c>
      <c r="V59">
        <v>0.11258983168202119</v>
      </c>
      <c r="W59">
        <f t="shared" si="14"/>
        <v>0.1143578549002979</v>
      </c>
    </row>
    <row r="60" spans="1:23">
      <c r="A60">
        <v>57</v>
      </c>
      <c r="B60">
        <f t="shared" si="0"/>
        <v>69.75</v>
      </c>
      <c r="C60">
        <f t="shared" si="1"/>
        <v>0.84924566461878859</v>
      </c>
      <c r="D60" s="21">
        <v>5.9873139706361498E-3</v>
      </c>
      <c r="E60">
        <f t="shared" si="7"/>
        <v>0.10197718846637083</v>
      </c>
      <c r="F60">
        <f t="shared" si="2"/>
        <v>0.10755980840388181</v>
      </c>
      <c r="G60" s="22">
        <f t="shared" si="8"/>
        <v>5.9873139706361446E-3</v>
      </c>
      <c r="H60" s="21">
        <v>0.21497880787263099</v>
      </c>
      <c r="I60">
        <f t="shared" si="3"/>
        <v>2.9639407986679227E-2</v>
      </c>
      <c r="J60" s="22">
        <f t="shared" si="9"/>
        <v>0.21497880787263099</v>
      </c>
      <c r="K60">
        <f t="shared" si="10"/>
        <v>2.9204468443280618E-2</v>
      </c>
      <c r="L60">
        <v>1.2257718355900282E-3</v>
      </c>
      <c r="M60">
        <f t="shared" si="4"/>
        <v>2.9204468443280618E-2</v>
      </c>
      <c r="N60">
        <f t="shared" si="11"/>
        <v>0.21497880787263099</v>
      </c>
      <c r="O60">
        <v>5.9873139706361446E-3</v>
      </c>
      <c r="P60">
        <f t="shared" si="12"/>
        <v>0.20899149390199484</v>
      </c>
      <c r="Q60">
        <f t="shared" si="5"/>
        <v>0.78502119212736898</v>
      </c>
      <c r="R60">
        <f t="shared" si="6"/>
        <v>1</v>
      </c>
      <c r="S60">
        <v>14.369553529526748</v>
      </c>
      <c r="T60">
        <v>219.44106859709458</v>
      </c>
      <c r="U60">
        <f t="shared" si="13"/>
        <v>237.66484443714347</v>
      </c>
      <c r="V60">
        <v>0.10916585184809362</v>
      </c>
      <c r="W60">
        <f t="shared" si="14"/>
        <v>0.11087784176505741</v>
      </c>
    </row>
    <row r="61" spans="1:23">
      <c r="A61">
        <v>58</v>
      </c>
      <c r="B61">
        <f t="shared" si="0"/>
        <v>69.833333333333329</v>
      </c>
      <c r="C61">
        <f t="shared" si="1"/>
        <v>0.84681454582388727</v>
      </c>
      <c r="D61" s="21">
        <v>5.3747120528672802E-3</v>
      </c>
      <c r="E61">
        <f t="shared" si="7"/>
        <v>0.10231665163598913</v>
      </c>
      <c r="F61">
        <f t="shared" si="2"/>
        <v>0.10793789161286453</v>
      </c>
      <c r="G61" s="22">
        <f t="shared" si="8"/>
        <v>5.374712052867275E-3</v>
      </c>
      <c r="H61" s="21">
        <v>0.208689604082434</v>
      </c>
      <c r="I61">
        <f t="shared" si="3"/>
        <v>2.9691455126685865E-2</v>
      </c>
      <c r="J61" s="22">
        <f t="shared" si="9"/>
        <v>0.208689604082434</v>
      </c>
      <c r="K61">
        <f t="shared" si="10"/>
        <v>2.9254994259355849E-2</v>
      </c>
      <c r="L61">
        <v>1.2257718355900282E-3</v>
      </c>
      <c r="M61">
        <f t="shared" si="4"/>
        <v>2.9254994259355849E-2</v>
      </c>
      <c r="N61">
        <f t="shared" si="11"/>
        <v>0.208689604082434</v>
      </c>
      <c r="O61">
        <v>5.374712052867275E-3</v>
      </c>
      <c r="P61">
        <f t="shared" si="12"/>
        <v>0.20331489202956674</v>
      </c>
      <c r="Q61">
        <f t="shared" si="5"/>
        <v>0.79131039591756602</v>
      </c>
      <c r="R61">
        <f t="shared" si="6"/>
        <v>1</v>
      </c>
      <c r="S61">
        <v>12.89930892688146</v>
      </c>
      <c r="T61">
        <v>213.48063663104506</v>
      </c>
      <c r="U61">
        <f t="shared" si="13"/>
        <v>230.09528384227391</v>
      </c>
      <c r="V61">
        <v>0.10584972141601984</v>
      </c>
      <c r="W61">
        <f t="shared" si="14"/>
        <v>0.10750778663205673</v>
      </c>
    </row>
    <row r="62" spans="1:23">
      <c r="A62">
        <v>59</v>
      </c>
      <c r="B62">
        <f t="shared" si="0"/>
        <v>69.916666666666671</v>
      </c>
      <c r="C62">
        <f t="shared" si="1"/>
        <v>0.8443903865447554</v>
      </c>
      <c r="D62" s="21">
        <v>4.82299088249375E-3</v>
      </c>
      <c r="E62">
        <f t="shared" si="7"/>
        <v>0.10265129832940545</v>
      </c>
      <c r="F62">
        <f t="shared" si="2"/>
        <v>0.10831075035629126</v>
      </c>
      <c r="G62" s="22">
        <f t="shared" si="8"/>
        <v>4.8229908824937448E-3</v>
      </c>
      <c r="H62" s="21">
        <v>0.20257401101113401</v>
      </c>
      <c r="I62">
        <f t="shared" si="3"/>
        <v>2.9742693861136992E-2</v>
      </c>
      <c r="J62" s="22">
        <f t="shared" si="9"/>
        <v>0.20257401101113401</v>
      </c>
      <c r="K62">
        <f t="shared" si="10"/>
        <v>2.9304732730645711E-2</v>
      </c>
      <c r="L62">
        <v>1.2257718355900282E-3</v>
      </c>
      <c r="M62">
        <f t="shared" si="4"/>
        <v>2.9304732730645711E-2</v>
      </c>
      <c r="N62">
        <f t="shared" si="11"/>
        <v>0.20257401101113401</v>
      </c>
      <c r="O62">
        <v>4.8229908824937448E-3</v>
      </c>
      <c r="P62">
        <f t="shared" si="12"/>
        <v>0.19775102012864026</v>
      </c>
      <c r="Q62">
        <f t="shared" si="5"/>
        <v>0.79742598898886596</v>
      </c>
      <c r="R62">
        <f t="shared" si="6"/>
        <v>1</v>
      </c>
      <c r="S62">
        <v>11.575178117984988</v>
      </c>
      <c r="T62">
        <v>207.63857113507228</v>
      </c>
      <c r="U62">
        <f t="shared" si="13"/>
        <v>222.79684740549192</v>
      </c>
      <c r="V62">
        <v>0.10263744295266525</v>
      </c>
      <c r="W62">
        <f t="shared" si="14"/>
        <v>0.10424358218434254</v>
      </c>
    </row>
    <row r="63" spans="1:23">
      <c r="A63">
        <v>60</v>
      </c>
      <c r="B63">
        <f t="shared" si="0"/>
        <v>70</v>
      </c>
      <c r="C63">
        <f t="shared" si="1"/>
        <v>0.84197316685852419</v>
      </c>
      <c r="D63" s="21">
        <v>4.32631312207548E-3</v>
      </c>
      <c r="E63">
        <f t="shared" si="7"/>
        <v>0.10298127707872851</v>
      </c>
      <c r="F63">
        <f t="shared" si="2"/>
        <v>0.10867854431924494</v>
      </c>
      <c r="G63" s="22">
        <f t="shared" si="8"/>
        <v>4.3263131220754748E-3</v>
      </c>
      <c r="H63" s="21">
        <v>0.196627712385783</v>
      </c>
      <c r="I63">
        <f t="shared" si="3"/>
        <v>2.9793150249395908E-2</v>
      </c>
      <c r="J63" s="22">
        <f t="shared" si="9"/>
        <v>0.196627712385783</v>
      </c>
      <c r="K63">
        <f t="shared" si="10"/>
        <v>2.9353709272332051E-2</v>
      </c>
      <c r="L63">
        <v>1.3563645444001349E-3</v>
      </c>
      <c r="M63">
        <f t="shared" si="4"/>
        <v>2.9353709272332051E-2</v>
      </c>
      <c r="N63">
        <f t="shared" si="11"/>
        <v>0.196627712385783</v>
      </c>
      <c r="O63">
        <v>4.3263131220754748E-3</v>
      </c>
      <c r="P63">
        <f t="shared" si="12"/>
        <v>0.19230139926370751</v>
      </c>
      <c r="Q63">
        <f t="shared" si="5"/>
        <v>0.80337228761421697</v>
      </c>
      <c r="R63">
        <f t="shared" si="6"/>
        <v>1</v>
      </c>
      <c r="S63">
        <v>10.38315149298114</v>
      </c>
      <c r="T63">
        <v>201.9164692268929</v>
      </c>
      <c r="U63">
        <f t="shared" si="13"/>
        <v>215.75668498646564</v>
      </c>
      <c r="V63">
        <v>9.9525223867072632E-2</v>
      </c>
      <c r="W63">
        <f t="shared" si="14"/>
        <v>0.10108133340986894</v>
      </c>
    </row>
    <row r="64" spans="1:23" s="5" customFormat="1">
      <c r="A64" s="5">
        <v>61</v>
      </c>
      <c r="B64" s="5">
        <f t="shared" si="0"/>
        <v>70.083333333333329</v>
      </c>
      <c r="C64" s="5">
        <f t="shared" si="1"/>
        <v>0.83956286689935877</v>
      </c>
      <c r="D64" s="21">
        <v>3.8793758629162602E-3</v>
      </c>
      <c r="E64" s="5">
        <f t="shared" si="7"/>
        <v>0.10330672943635866</v>
      </c>
      <c r="F64">
        <f t="shared" si="2"/>
        <v>0.10904142572092328</v>
      </c>
      <c r="G64" s="22">
        <f t="shared" si="8"/>
        <v>3.8793758629162554E-3</v>
      </c>
      <c r="H64" s="21">
        <v>0.19084647459731399</v>
      </c>
      <c r="I64">
        <f t="shared" si="3"/>
        <v>2.9842849089975084E-2</v>
      </c>
      <c r="J64" s="22">
        <f t="shared" si="9"/>
        <v>0.19084647459731399</v>
      </c>
      <c r="K64">
        <f t="shared" si="10"/>
        <v>2.9401948068877637E-2</v>
      </c>
      <c r="L64" s="5">
        <v>1.3563645444001349E-3</v>
      </c>
      <c r="M64" s="5">
        <f t="shared" si="4"/>
        <v>2.9401948068877637E-2</v>
      </c>
      <c r="N64" s="5">
        <f t="shared" si="11"/>
        <v>0.19084647459731399</v>
      </c>
      <c r="O64" s="5">
        <v>3.8793758629162554E-3</v>
      </c>
      <c r="P64" s="5">
        <f t="shared" si="12"/>
        <v>0.18696709873439774</v>
      </c>
      <c r="Q64" s="5">
        <f t="shared" si="5"/>
        <v>0.80915352540268604</v>
      </c>
      <c r="R64">
        <f t="shared" si="6"/>
        <v>1</v>
      </c>
      <c r="S64" s="5">
        <v>9.3105020709990125</v>
      </c>
      <c r="T64">
        <v>196.31545367111761</v>
      </c>
      <c r="U64">
        <f t="shared" si="13"/>
        <v>208.96278823099533</v>
      </c>
      <c r="V64" s="5">
        <v>9.6509462540273552E-2</v>
      </c>
      <c r="W64" s="5">
        <f t="shared" si="14"/>
        <v>9.8017343203673085E-2</v>
      </c>
    </row>
    <row r="65" spans="1:23">
      <c r="A65">
        <v>62</v>
      </c>
      <c r="B65">
        <f t="shared" si="0"/>
        <v>70.166666666666671</v>
      </c>
      <c r="C65">
        <f t="shared" si="1"/>
        <v>0.83715946685829234</v>
      </c>
      <c r="D65" s="21">
        <v>3.4773647140642302E-3</v>
      </c>
      <c r="E65">
        <f t="shared" si="7"/>
        <v>0.10362779041209591</v>
      </c>
      <c r="F65">
        <f t="shared" si="2"/>
        <v>0.10939953978058532</v>
      </c>
      <c r="G65" s="22">
        <f t="shared" si="8"/>
        <v>3.4773647140642259E-3</v>
      </c>
      <c r="H65" s="21">
        <v>0.18522614665819001</v>
      </c>
      <c r="I65">
        <f t="shared" si="3"/>
        <v>2.989181400124569E-2</v>
      </c>
      <c r="J65" s="22">
        <f t="shared" si="9"/>
        <v>0.18522614665819001</v>
      </c>
      <c r="K65">
        <f t="shared" si="10"/>
        <v>2.9449472152854095E-2</v>
      </c>
      <c r="L65">
        <v>1.3563645444001349E-3</v>
      </c>
      <c r="M65">
        <f t="shared" si="4"/>
        <v>2.9449472152854095E-2</v>
      </c>
      <c r="N65">
        <f t="shared" si="11"/>
        <v>0.18522614665819001</v>
      </c>
      <c r="O65">
        <v>3.4773647140642259E-3</v>
      </c>
      <c r="P65">
        <f t="shared" si="12"/>
        <v>0.18174878194412578</v>
      </c>
      <c r="Q65">
        <f t="shared" si="5"/>
        <v>0.81477385334180996</v>
      </c>
      <c r="R65">
        <f t="shared" si="6"/>
        <v>1</v>
      </c>
      <c r="S65">
        <v>8.3456753137541426</v>
      </c>
      <c r="T65">
        <v>190.83622104133207</v>
      </c>
      <c r="U65">
        <f t="shared" si="13"/>
        <v>202.40392604860142</v>
      </c>
      <c r="V65">
        <v>9.3586735449032982E-2</v>
      </c>
      <c r="W65">
        <f t="shared" si="14"/>
        <v>9.5048098994653274E-2</v>
      </c>
    </row>
    <row r="66" spans="1:23">
      <c r="A66">
        <v>63</v>
      </c>
      <c r="B66">
        <f t="shared" si="0"/>
        <v>70.25</v>
      </c>
      <c r="C66">
        <f t="shared" si="1"/>
        <v>0.83476294698306597</v>
      </c>
      <c r="D66" s="21">
        <v>3.1159114684879202E-3</v>
      </c>
      <c r="E66">
        <f t="shared" si="7"/>
        <v>0.10394458887628599</v>
      </c>
      <c r="F66">
        <f t="shared" si="2"/>
        <v>0.10975302514738973</v>
      </c>
      <c r="G66" s="22">
        <f t="shared" si="8"/>
        <v>3.1159114684879163E-3</v>
      </c>
      <c r="H66" s="21">
        <v>0.17976266002438099</v>
      </c>
      <c r="I66">
        <f t="shared" si="3"/>
        <v>2.9940067495792193E-2</v>
      </c>
      <c r="J66" s="22">
        <f t="shared" si="9"/>
        <v>0.17976266002438099</v>
      </c>
      <c r="K66">
        <f t="shared" si="10"/>
        <v>2.9496303477560049E-2</v>
      </c>
      <c r="L66">
        <v>1.3563645444001349E-3</v>
      </c>
      <c r="M66">
        <f t="shared" si="4"/>
        <v>2.9496303477560049E-2</v>
      </c>
      <c r="N66">
        <f t="shared" si="11"/>
        <v>0.17976266002438099</v>
      </c>
      <c r="O66">
        <v>3.1159114684879163E-3</v>
      </c>
      <c r="P66">
        <f t="shared" si="12"/>
        <v>0.17664674855589307</v>
      </c>
      <c r="Q66">
        <f t="shared" si="5"/>
        <v>0.82023733997561898</v>
      </c>
      <c r="R66">
        <f t="shared" si="6"/>
        <v>1</v>
      </c>
      <c r="S66">
        <v>7.4781875243709992</v>
      </c>
      <c r="T66">
        <v>185.47908598368772</v>
      </c>
      <c r="U66">
        <f t="shared" si="13"/>
        <v>196.06958493157248</v>
      </c>
      <c r="V66">
        <v>9.0753785223367106E-2</v>
      </c>
      <c r="W66">
        <f t="shared" si="14"/>
        <v>9.2170260336200044E-2</v>
      </c>
    </row>
    <row r="67" spans="1:23">
      <c r="A67">
        <v>64</v>
      </c>
      <c r="B67">
        <f t="shared" ref="B67:B130" si="15">(start_age*12+A67)/12</f>
        <v>70.333333333333329</v>
      </c>
      <c r="C67">
        <f t="shared" ref="C67:C130" si="16">1/(1+Disc_rate_per_cyc)^$A67</f>
        <v>0.8323732875779648</v>
      </c>
      <c r="D67" s="21">
        <v>2.7910551139833499E-3</v>
      </c>
      <c r="E67">
        <f t="shared" si="7"/>
        <v>0.10425724793208446</v>
      </c>
      <c r="F67">
        <f t="shared" si="2"/>
        <v>0.1101020142973896</v>
      </c>
      <c r="G67" s="22">
        <f t="shared" si="8"/>
        <v>2.7910551139833464E-3</v>
      </c>
      <c r="H67" s="21">
        <v>0.174452028294731</v>
      </c>
      <c r="I67">
        <f t="shared" si="3"/>
        <v>2.998763104884854E-2</v>
      </c>
      <c r="J67" s="22">
        <f t="shared" si="9"/>
        <v>0.174452028294731</v>
      </c>
      <c r="K67">
        <f t="shared" si="10"/>
        <v>2.9542462983857209E-2</v>
      </c>
      <c r="L67">
        <v>1.3563645444001349E-3</v>
      </c>
      <c r="M67">
        <f t="shared" si="4"/>
        <v>2.9542462983857209E-2</v>
      </c>
      <c r="N67">
        <f t="shared" si="11"/>
        <v>0.174452028294731</v>
      </c>
      <c r="O67">
        <v>2.7910551139833464E-3</v>
      </c>
      <c r="P67">
        <f t="shared" si="12"/>
        <v>0.17166097318074766</v>
      </c>
      <c r="Q67">
        <f t="shared" si="5"/>
        <v>0.82554797170526895</v>
      </c>
      <c r="R67">
        <f t="shared" si="6"/>
        <v>1</v>
      </c>
      <c r="S67">
        <v>6.6985322735600317</v>
      </c>
      <c r="T67">
        <v>180.24402183978503</v>
      </c>
      <c r="U67">
        <f t="shared" si="13"/>
        <v>189.9499138107019</v>
      </c>
      <c r="V67">
        <v>8.8007509579280843E-2</v>
      </c>
      <c r="W67">
        <f t="shared" si="14"/>
        <v>8.9380647401323982E-2</v>
      </c>
    </row>
    <row r="68" spans="1:23">
      <c r="A68">
        <v>65</v>
      </c>
      <c r="B68">
        <f t="shared" si="15"/>
        <v>70.416666666666671</v>
      </c>
      <c r="C68">
        <f t="shared" si="16"/>
        <v>0.82999046900365647</v>
      </c>
      <c r="D68" s="21">
        <v>2.4992059651810102E-3</v>
      </c>
      <c r="E68">
        <f t="shared" si="7"/>
        <v>0.10456588525972066</v>
      </c>
      <c r="F68">
        <f t="shared" ref="F68:F131" si="17">-LN(D68/D67)*PSA_SocHRsclr_pfs_VtUs</f>
        <v>0.11044663390074649</v>
      </c>
      <c r="G68" s="22">
        <f t="shared" si="8"/>
        <v>2.4992059651810072E-3</v>
      </c>
      <c r="H68" s="21">
        <v>0.16929034679961</v>
      </c>
      <c r="I68">
        <f t="shared" ref="I68:I131" si="18">-LN(H68/H67)*PSA_SocHRsclr_os_VtUs</f>
        <v>3.0034525161670968E-2</v>
      </c>
      <c r="J68" s="22">
        <f t="shared" si="9"/>
        <v>0.16929034679961</v>
      </c>
      <c r="K68">
        <f t="shared" si="10"/>
        <v>2.9587970662057983E-2</v>
      </c>
      <c r="L68">
        <v>1.3563645444001349E-3</v>
      </c>
      <c r="M68">
        <f t="shared" ref="M68:M131" si="19">MAX(K68:L68)</f>
        <v>2.9587970662057983E-2</v>
      </c>
      <c r="N68">
        <f t="shared" ref="N68:N131" si="20">N67*(1-M68)</f>
        <v>0.16929034679961</v>
      </c>
      <c r="O68">
        <v>2.4992059651810072E-3</v>
      </c>
      <c r="P68">
        <f t="shared" ref="P68:P131" si="21">N68-O68</f>
        <v>0.166791140834429</v>
      </c>
      <c r="Q68">
        <f t="shared" ref="Q68:Q131" si="22">1-N68</f>
        <v>0.83070965320039003</v>
      </c>
      <c r="R68">
        <f t="shared" ref="R68:R131" si="23">SUM(O68:Q68)</f>
        <v>1</v>
      </c>
      <c r="S68">
        <v>5.9980943164344174</v>
      </c>
      <c r="T68">
        <v>175.13069787615046</v>
      </c>
      <c r="U68">
        <f t="shared" si="13"/>
        <v>184.03567315296499</v>
      </c>
      <c r="V68">
        <v>8.5344951070055686E-2</v>
      </c>
      <c r="W68">
        <f t="shared" si="14"/>
        <v>8.6676230324668257E-2</v>
      </c>
    </row>
    <row r="69" spans="1:23">
      <c r="A69">
        <v>66</v>
      </c>
      <c r="B69">
        <f t="shared" si="15"/>
        <v>70.5</v>
      </c>
      <c r="C69">
        <f t="shared" si="16"/>
        <v>0.82761447167702951</v>
      </c>
      <c r="D69" s="21">
        <v>2.2371127025116498E-3</v>
      </c>
      <c r="E69">
        <f t="shared" ref="E69:E132" si="24">1-D69/D68</f>
        <v>0.10487061343516668</v>
      </c>
      <c r="F69">
        <f t="shared" si="17"/>
        <v>0.11078700516171085</v>
      </c>
      <c r="G69" s="22">
        <f t="shared" ref="G69:G132" si="25">G68*EXP(-F69)</f>
        <v>2.2371127025116472E-3</v>
      </c>
      <c r="H69" s="21">
        <v>0.164273792089808</v>
      </c>
      <c r="I69">
        <f t="shared" si="18"/>
        <v>3.0080769419953603E-2</v>
      </c>
      <c r="J69" s="22">
        <f t="shared" ref="J69:J132" si="26">J68*EXP(-I69)</f>
        <v>0.164273792089808</v>
      </c>
      <c r="K69">
        <f t="shared" ref="K69:K132" si="27">1-(J69/J68)</f>
        <v>2.9632845608970948E-2</v>
      </c>
      <c r="L69">
        <v>1.3563645444001349E-3</v>
      </c>
      <c r="M69">
        <f t="shared" si="19"/>
        <v>2.9632845608970948E-2</v>
      </c>
      <c r="N69">
        <f t="shared" si="20"/>
        <v>0.164273792089808</v>
      </c>
      <c r="O69">
        <v>2.2371127025116472E-3</v>
      </c>
      <c r="P69">
        <f t="shared" si="21"/>
        <v>0.16203667938729635</v>
      </c>
      <c r="Q69">
        <f t="shared" si="22"/>
        <v>0.83572620791019203</v>
      </c>
      <c r="R69">
        <f t="shared" si="23"/>
        <v>1</v>
      </c>
      <c r="S69">
        <v>5.3690704860279537</v>
      </c>
      <c r="T69">
        <v>170.13851335666118</v>
      </c>
      <c r="U69">
        <f t="shared" ref="U69:U132" si="28">(S68+T68+S69+T69)/2</f>
        <v>178.318188017637</v>
      </c>
      <c r="V69">
        <v>8.2763287601607255E-2</v>
      </c>
      <c r="W69">
        <f t="shared" ref="W69:W132" si="29">(V68+V69)/2</f>
        <v>8.405411933583147E-2</v>
      </c>
    </row>
    <row r="70" spans="1:23">
      <c r="A70">
        <v>67</v>
      </c>
      <c r="B70">
        <f t="shared" si="15"/>
        <v>70.583333333333329</v>
      </c>
      <c r="C70">
        <f t="shared" si="16"/>
        <v>0.82524527607103304</v>
      </c>
      <c r="D70" s="21">
        <v>2.00183211393027E-3</v>
      </c>
      <c r="E70">
        <f t="shared" si="24"/>
        <v>0.10517154022558894</v>
      </c>
      <c r="F70">
        <f t="shared" si="17"/>
        <v>0.1111232441338999</v>
      </c>
      <c r="G70" s="22">
        <f t="shared" si="25"/>
        <v>2.0018321139302674E-3</v>
      </c>
      <c r="H70" s="21">
        <v>0.15939862133565799</v>
      </c>
      <c r="I70">
        <f t="shared" si="18"/>
        <v>3.0126382548035204E-2</v>
      </c>
      <c r="J70" s="22">
        <f t="shared" si="26"/>
        <v>0.15939862133565799</v>
      </c>
      <c r="K70">
        <f t="shared" si="27"/>
        <v>2.9677106080833404E-2</v>
      </c>
      <c r="L70">
        <v>1.3563645444001349E-3</v>
      </c>
      <c r="M70">
        <f t="shared" si="19"/>
        <v>2.9677106080833404E-2</v>
      </c>
      <c r="N70">
        <f t="shared" si="20"/>
        <v>0.15939862133565799</v>
      </c>
      <c r="O70">
        <v>2.0018321139302674E-3</v>
      </c>
      <c r="P70">
        <f t="shared" si="21"/>
        <v>0.15739678922172773</v>
      </c>
      <c r="Q70">
        <f t="shared" si="22"/>
        <v>0.84060137866434204</v>
      </c>
      <c r="R70">
        <f t="shared" si="23"/>
        <v>1</v>
      </c>
      <c r="S70">
        <v>4.804397073432642</v>
      </c>
      <c r="T70">
        <v>165.26662868281412</v>
      </c>
      <c r="U70">
        <f t="shared" si="28"/>
        <v>172.78930479946797</v>
      </c>
      <c r="V70">
        <v>8.0259823659729473E-2</v>
      </c>
      <c r="W70">
        <f t="shared" si="29"/>
        <v>8.1511555630668364E-2</v>
      </c>
    </row>
    <row r="71" spans="1:23">
      <c r="A71">
        <v>68</v>
      </c>
      <c r="B71">
        <f t="shared" si="15"/>
        <v>70.666666666666671</v>
      </c>
      <c r="C71">
        <f t="shared" si="16"/>
        <v>0.82288286271451594</v>
      </c>
      <c r="D71" s="21">
        <v>1.7907013454026401E-3</v>
      </c>
      <c r="E71">
        <f t="shared" si="24"/>
        <v>0.10546876886349332</v>
      </c>
      <c r="F71">
        <f t="shared" si="17"/>
        <v>0.11145546201289637</v>
      </c>
      <c r="G71" s="22">
        <f t="shared" si="25"/>
        <v>1.7907013454026377E-3</v>
      </c>
      <c r="H71" s="21">
        <v>0.15466117164558099</v>
      </c>
      <c r="I71">
        <f t="shared" si="18"/>
        <v>3.0171382459065685E-2</v>
      </c>
      <c r="J71" s="22">
        <f t="shared" si="26"/>
        <v>0.15466117164558099</v>
      </c>
      <c r="K71">
        <f t="shared" si="27"/>
        <v>2.9720769542297298E-2</v>
      </c>
      <c r="L71">
        <v>1.3563645444001349E-3</v>
      </c>
      <c r="M71">
        <f t="shared" si="19"/>
        <v>2.9720769542297298E-2</v>
      </c>
      <c r="N71">
        <f t="shared" si="20"/>
        <v>0.15466117164558099</v>
      </c>
      <c r="O71">
        <v>1.7907013454026377E-3</v>
      </c>
      <c r="P71">
        <f t="shared" si="21"/>
        <v>0.15287047030017836</v>
      </c>
      <c r="Q71">
        <f t="shared" si="22"/>
        <v>0.84533882835441898</v>
      </c>
      <c r="R71">
        <f t="shared" si="23"/>
        <v>1</v>
      </c>
      <c r="S71">
        <v>4.2976832289663305</v>
      </c>
      <c r="T71">
        <v>160.51399381518729</v>
      </c>
      <c r="U71">
        <f t="shared" si="28"/>
        <v>167.44135140020018</v>
      </c>
      <c r="V71">
        <v>7.7831982199503241E-2</v>
      </c>
      <c r="W71">
        <f t="shared" si="29"/>
        <v>7.9045902929616357E-2</v>
      </c>
    </row>
    <row r="72" spans="1:23">
      <c r="A72">
        <v>69</v>
      </c>
      <c r="B72">
        <f t="shared" si="15"/>
        <v>70.75</v>
      </c>
      <c r="C72">
        <f t="shared" si="16"/>
        <v>0.82052721219206615</v>
      </c>
      <c r="D72" s="21">
        <v>1.6013124764711899E-3</v>
      </c>
      <c r="E72">
        <f t="shared" si="24"/>
        <v>0.10576239830146883</v>
      </c>
      <c r="F72">
        <f t="shared" si="17"/>
        <v>0.1117837654081959</v>
      </c>
      <c r="G72" s="22">
        <f t="shared" si="25"/>
        <v>1.6013124764711877E-3</v>
      </c>
      <c r="H72" s="21">
        <v>0.15005785931247301</v>
      </c>
      <c r="I72">
        <f t="shared" si="18"/>
        <v>3.0215786301568161E-2</v>
      </c>
      <c r="J72" s="22">
        <f t="shared" si="26"/>
        <v>0.15005785931247301</v>
      </c>
      <c r="K72">
        <f t="shared" si="27"/>
        <v>2.9763852711893746E-2</v>
      </c>
      <c r="L72">
        <v>1.3563645444001349E-3</v>
      </c>
      <c r="M72">
        <f t="shared" si="19"/>
        <v>2.9763852711893746E-2</v>
      </c>
      <c r="N72">
        <f t="shared" si="20"/>
        <v>0.15005785931247301</v>
      </c>
      <c r="O72">
        <v>1.6013124764711877E-3</v>
      </c>
      <c r="P72">
        <f t="shared" si="21"/>
        <v>0.14845654683600182</v>
      </c>
      <c r="Q72">
        <f t="shared" si="22"/>
        <v>0.84994214068752694</v>
      </c>
      <c r="R72">
        <f t="shared" si="23"/>
        <v>1</v>
      </c>
      <c r="S72">
        <v>3.8431499435308507</v>
      </c>
      <c r="T72">
        <v>155.87937417780191</v>
      </c>
      <c r="U72">
        <f t="shared" si="28"/>
        <v>162.26710058274318</v>
      </c>
      <c r="V72">
        <v>7.5477297149648431E-2</v>
      </c>
      <c r="W72">
        <f t="shared" si="29"/>
        <v>7.6654639674575836E-2</v>
      </c>
    </row>
    <row r="73" spans="1:23">
      <c r="A73">
        <v>70</v>
      </c>
      <c r="B73">
        <f t="shared" si="15"/>
        <v>70.833333333333329</v>
      </c>
      <c r="C73">
        <f t="shared" si="16"/>
        <v>0.81817830514385237</v>
      </c>
      <c r="D73" s="21">
        <v>1.4314892475108601E-3</v>
      </c>
      <c r="E73">
        <f t="shared" si="24"/>
        <v>0.10605252344912031</v>
      </c>
      <c r="F73">
        <f t="shared" si="17"/>
        <v>0.11210825659618996</v>
      </c>
      <c r="G73" s="22">
        <f t="shared" si="25"/>
        <v>1.4314892475108581E-3</v>
      </c>
      <c r="H73" s="21">
        <v>0.14558517899566301</v>
      </c>
      <c r="I73">
        <f t="shared" si="18"/>
        <v>3.0259610502705113E-2</v>
      </c>
      <c r="J73" s="22">
        <f t="shared" si="26"/>
        <v>0.14558517899566301</v>
      </c>
      <c r="K73">
        <f t="shared" si="27"/>
        <v>2.9806371604277793E-2</v>
      </c>
      <c r="L73">
        <v>1.3563645444001349E-3</v>
      </c>
      <c r="M73">
        <f t="shared" si="19"/>
        <v>2.9806371604277793E-2</v>
      </c>
      <c r="N73">
        <f t="shared" si="20"/>
        <v>0.14558517899566301</v>
      </c>
      <c r="O73">
        <v>1.4314892475108581E-3</v>
      </c>
      <c r="P73">
        <f t="shared" si="21"/>
        <v>0.14415368974815215</v>
      </c>
      <c r="Q73">
        <f t="shared" si="22"/>
        <v>0.85441482100433697</v>
      </c>
      <c r="R73">
        <f t="shared" si="23"/>
        <v>1</v>
      </c>
      <c r="S73">
        <v>3.4355741940260596</v>
      </c>
      <c r="T73">
        <v>151.36137423555977</v>
      </c>
      <c r="U73">
        <f t="shared" si="28"/>
        <v>157.25973627545929</v>
      </c>
      <c r="V73">
        <v>7.3193406487134544E-2</v>
      </c>
      <c r="W73">
        <f t="shared" si="29"/>
        <v>7.4335351818391487E-2</v>
      </c>
    </row>
    <row r="74" spans="1:23">
      <c r="A74">
        <v>71</v>
      </c>
      <c r="B74">
        <f t="shared" si="15"/>
        <v>70.916666666666671</v>
      </c>
      <c r="C74">
        <f t="shared" si="16"/>
        <v>0.81583612226546398</v>
      </c>
      <c r="D74" s="21">
        <v>1.2792657754563E-3</v>
      </c>
      <c r="E74">
        <f t="shared" si="24"/>
        <v>0.10633923539366663</v>
      </c>
      <c r="F74">
        <f t="shared" si="17"/>
        <v>0.11242903375575287</v>
      </c>
      <c r="G74" s="22">
        <f t="shared" si="25"/>
        <v>1.2792657754562983E-3</v>
      </c>
      <c r="H74" s="21">
        <v>0.14123970284554299</v>
      </c>
      <c r="I74">
        <f t="shared" si="18"/>
        <v>3.0302870808505591E-2</v>
      </c>
      <c r="J74" s="22">
        <f t="shared" si="26"/>
        <v>0.14123970284554299</v>
      </c>
      <c r="K74">
        <f t="shared" si="27"/>
        <v>2.9848341569504555E-2</v>
      </c>
      <c r="L74">
        <v>1.3563645444001349E-3</v>
      </c>
      <c r="M74">
        <f t="shared" si="19"/>
        <v>2.9848341569504555E-2</v>
      </c>
      <c r="N74">
        <f t="shared" si="20"/>
        <v>0.14123970284554299</v>
      </c>
      <c r="O74">
        <v>1.2792657754562983E-3</v>
      </c>
      <c r="P74">
        <f t="shared" si="21"/>
        <v>0.13996043707008668</v>
      </c>
      <c r="Q74">
        <f t="shared" si="22"/>
        <v>0.85876029715445701</v>
      </c>
      <c r="R74">
        <f t="shared" si="23"/>
        <v>1</v>
      </c>
      <c r="S74">
        <v>3.0702378610951158</v>
      </c>
      <c r="T74">
        <v>146.95845892359102</v>
      </c>
      <c r="U74">
        <f t="shared" si="28"/>
        <v>152.41282260713598</v>
      </c>
      <c r="V74">
        <v>7.0978045839899251E-2</v>
      </c>
      <c r="W74">
        <f t="shared" si="29"/>
        <v>7.2085726163516897E-2</v>
      </c>
    </row>
    <row r="75" spans="1:23">
      <c r="A75">
        <v>72</v>
      </c>
      <c r="B75">
        <f t="shared" si="15"/>
        <v>71</v>
      </c>
      <c r="C75">
        <f t="shared" si="16"/>
        <v>0.81350064430775304</v>
      </c>
      <c r="D75" s="21">
        <v>1.14286710474684E-3</v>
      </c>
      <c r="E75">
        <f t="shared" si="24"/>
        <v>0.10662262160559099</v>
      </c>
      <c r="F75">
        <f t="shared" si="17"/>
        <v>0.11274619118790925</v>
      </c>
      <c r="G75" s="22">
        <f t="shared" si="25"/>
        <v>1.1428671047468385E-3</v>
      </c>
      <c r="H75" s="21">
        <v>0.13701807957739501</v>
      </c>
      <c r="I75">
        <f t="shared" si="18"/>
        <v>3.0345582321292492E-2</v>
      </c>
      <c r="J75" s="22">
        <f t="shared" si="26"/>
        <v>0.13701807957739501</v>
      </c>
      <c r="K75">
        <f t="shared" si="27"/>
        <v>2.9889777329570544E-2</v>
      </c>
      <c r="L75">
        <v>1.4847312091894604E-3</v>
      </c>
      <c r="M75">
        <f t="shared" si="19"/>
        <v>2.9889777329570544E-2</v>
      </c>
      <c r="N75">
        <f t="shared" si="20"/>
        <v>0.13701807957739501</v>
      </c>
      <c r="O75">
        <v>1.1428671047468385E-3</v>
      </c>
      <c r="P75">
        <f t="shared" si="21"/>
        <v>0.13587521247264817</v>
      </c>
      <c r="Q75">
        <f t="shared" si="22"/>
        <v>0.86298192042260502</v>
      </c>
      <c r="R75">
        <f t="shared" si="23"/>
        <v>1</v>
      </c>
      <c r="S75">
        <v>2.7428810513924122</v>
      </c>
      <c r="T75">
        <v>142.66897309628058</v>
      </c>
      <c r="U75">
        <f t="shared" si="28"/>
        <v>147.72027546617954</v>
      </c>
      <c r="V75">
        <v>6.882904257802662E-2</v>
      </c>
      <c r="W75">
        <f t="shared" si="29"/>
        <v>6.9903544208962942E-2</v>
      </c>
    </row>
    <row r="76" spans="1:23">
      <c r="A76">
        <v>73</v>
      </c>
      <c r="B76">
        <f t="shared" si="15"/>
        <v>71.083333333333329</v>
      </c>
      <c r="C76">
        <f t="shared" si="16"/>
        <v>0.81117185207667486</v>
      </c>
      <c r="D76" s="21">
        <v>1.0206914499298299E-3</v>
      </c>
      <c r="E76">
        <f t="shared" si="24"/>
        <v>0.10690276613051486</v>
      </c>
      <c r="F76">
        <f t="shared" si="17"/>
        <v>0.11305981952082486</v>
      </c>
      <c r="G76" s="22">
        <f t="shared" si="25"/>
        <v>1.0206914499298286E-3</v>
      </c>
      <c r="H76" s="21">
        <v>0.13291703350039899</v>
      </c>
      <c r="I76">
        <f t="shared" si="18"/>
        <v>3.0387759534617243E-2</v>
      </c>
      <c r="J76" s="22">
        <f t="shared" si="26"/>
        <v>0.13291703350039899</v>
      </c>
      <c r="K76">
        <f t="shared" si="27"/>
        <v>2.9930693012519827E-2</v>
      </c>
      <c r="L76">
        <v>1.4847312091894604E-3</v>
      </c>
      <c r="M76">
        <f t="shared" si="19"/>
        <v>2.9930693012519827E-2</v>
      </c>
      <c r="N76">
        <f t="shared" si="20"/>
        <v>0.13291703350039899</v>
      </c>
      <c r="O76">
        <v>1.0206914499298286E-3</v>
      </c>
      <c r="P76">
        <f t="shared" si="21"/>
        <v>0.13189634205046916</v>
      </c>
      <c r="Q76">
        <f t="shared" si="22"/>
        <v>0.86708296649960104</v>
      </c>
      <c r="R76">
        <f t="shared" si="23"/>
        <v>1</v>
      </c>
      <c r="S76">
        <v>2.4496594798315887</v>
      </c>
      <c r="T76">
        <v>138.49115915299262</v>
      </c>
      <c r="U76">
        <f t="shared" si="28"/>
        <v>143.17633639024859</v>
      </c>
      <c r="V76">
        <v>6.6744310356179851E-2</v>
      </c>
      <c r="W76">
        <f t="shared" si="29"/>
        <v>6.7786676467103235E-2</v>
      </c>
    </row>
    <row r="77" spans="1:23">
      <c r="A77">
        <v>74</v>
      </c>
      <c r="B77">
        <f t="shared" si="15"/>
        <v>71.166666666666671</v>
      </c>
      <c r="C77">
        <f t="shared" si="16"/>
        <v>0.80884972643313269</v>
      </c>
      <c r="D77" s="21">
        <v>9.1129399573561698E-4</v>
      </c>
      <c r="E77">
        <f t="shared" si="24"/>
        <v>0.10717974976838862</v>
      </c>
      <c r="F77">
        <f t="shared" si="17"/>
        <v>0.11337000590128243</v>
      </c>
      <c r="G77" s="22">
        <f t="shared" si="25"/>
        <v>9.1129399573561579E-4</v>
      </c>
      <c r="H77" s="21">
        <v>0.128933363507339</v>
      </c>
      <c r="I77">
        <f t="shared" si="18"/>
        <v>3.0429416365778613E-2</v>
      </c>
      <c r="J77" s="22">
        <f t="shared" si="26"/>
        <v>0.128933363507339</v>
      </c>
      <c r="K77">
        <f t="shared" si="27"/>
        <v>2.9971102184190967E-2</v>
      </c>
      <c r="L77">
        <v>1.4847312091894604E-3</v>
      </c>
      <c r="M77">
        <f t="shared" si="19"/>
        <v>2.9971102184190967E-2</v>
      </c>
      <c r="N77">
        <f t="shared" si="20"/>
        <v>0.128933363507339</v>
      </c>
      <c r="O77">
        <v>9.1129399573561579E-4</v>
      </c>
      <c r="P77">
        <f t="shared" si="21"/>
        <v>0.12802206951160339</v>
      </c>
      <c r="Q77">
        <f t="shared" si="22"/>
        <v>0.87106663649266103</v>
      </c>
      <c r="R77">
        <f t="shared" si="23"/>
        <v>1</v>
      </c>
      <c r="S77">
        <v>2.1871055897654781</v>
      </c>
      <c r="T77">
        <v>134.42317298718356</v>
      </c>
      <c r="U77">
        <f t="shared" si="28"/>
        <v>138.77554860488664</v>
      </c>
      <c r="V77">
        <v>6.4721844072475471E-2</v>
      </c>
      <c r="W77">
        <f t="shared" si="29"/>
        <v>6.5733077214327668E-2</v>
      </c>
    </row>
    <row r="78" spans="1:23">
      <c r="A78">
        <v>75</v>
      </c>
      <c r="B78">
        <f t="shared" si="15"/>
        <v>71.25</v>
      </c>
      <c r="C78">
        <f t="shared" si="16"/>
        <v>0.8065342482928175</v>
      </c>
      <c r="D78" s="21">
        <v>8.1337212945111902E-4</v>
      </c>
      <c r="E78">
        <f t="shared" si="24"/>
        <v>0.10745365024099962</v>
      </c>
      <c r="F78">
        <f t="shared" si="17"/>
        <v>0.11367683417370701</v>
      </c>
      <c r="G78" s="22">
        <f t="shared" si="25"/>
        <v>8.1337212945111793E-4</v>
      </c>
      <c r="H78" s="21">
        <v>0.12506394203006199</v>
      </c>
      <c r="I78">
        <f t="shared" si="18"/>
        <v>3.0470566186232499E-2</v>
      </c>
      <c r="J78" s="22">
        <f t="shared" si="26"/>
        <v>0.12506394203006199</v>
      </c>
      <c r="K78">
        <f t="shared" si="27"/>
        <v>3.0011017877903723E-2</v>
      </c>
      <c r="L78">
        <v>1.4847312091894604E-3</v>
      </c>
      <c r="M78">
        <f t="shared" si="19"/>
        <v>3.0011017877903723E-2</v>
      </c>
      <c r="N78">
        <f t="shared" si="20"/>
        <v>0.12506394203006199</v>
      </c>
      <c r="O78">
        <v>8.1337212945111793E-4</v>
      </c>
      <c r="P78">
        <f t="shared" si="21"/>
        <v>0.12425056990061087</v>
      </c>
      <c r="Q78">
        <f t="shared" si="22"/>
        <v>0.87493605796993801</v>
      </c>
      <c r="R78">
        <f t="shared" si="23"/>
        <v>1</v>
      </c>
      <c r="S78">
        <v>1.9520931106826831</v>
      </c>
      <c r="T78">
        <v>130.46309839564142</v>
      </c>
      <c r="U78">
        <f t="shared" si="28"/>
        <v>134.51273504163657</v>
      </c>
      <c r="V78">
        <v>6.2759715211277309E-2</v>
      </c>
      <c r="W78">
        <f t="shared" si="29"/>
        <v>6.3740779641876383E-2</v>
      </c>
    </row>
    <row r="79" spans="1:23">
      <c r="A79">
        <v>76</v>
      </c>
      <c r="B79">
        <f t="shared" si="15"/>
        <v>71.333333333333329</v>
      </c>
      <c r="C79">
        <f t="shared" si="16"/>
        <v>0.80422539862605291</v>
      </c>
      <c r="D79" s="21">
        <v>7.2575198904675103E-4</v>
      </c>
      <c r="E79">
        <f t="shared" si="24"/>
        <v>0.10772454234877205</v>
      </c>
      <c r="F79">
        <f t="shared" si="17"/>
        <v>0.1139803850477806</v>
      </c>
      <c r="G79" s="22">
        <f t="shared" si="25"/>
        <v>7.2575198904675006E-4</v>
      </c>
      <c r="H79" s="21">
        <v>0.12130571396534399</v>
      </c>
      <c r="I79">
        <f t="shared" si="18"/>
        <v>3.0511221849993449E-2</v>
      </c>
      <c r="J79" s="22">
        <f t="shared" si="26"/>
        <v>0.12130571396534399</v>
      </c>
      <c r="K79">
        <f t="shared" si="27"/>
        <v>3.005045262218442E-2</v>
      </c>
      <c r="L79">
        <v>1.4847312091894604E-3</v>
      </c>
      <c r="M79">
        <f t="shared" si="19"/>
        <v>3.005045262218442E-2</v>
      </c>
      <c r="N79">
        <f t="shared" si="20"/>
        <v>0.12130571396534399</v>
      </c>
      <c r="O79">
        <v>7.2575198904675006E-4</v>
      </c>
      <c r="P79">
        <f t="shared" si="21"/>
        <v>0.12057996197629725</v>
      </c>
      <c r="Q79">
        <f t="shared" si="22"/>
        <v>0.87869428603465605</v>
      </c>
      <c r="R79">
        <f t="shared" si="23"/>
        <v>1</v>
      </c>
      <c r="S79">
        <v>1.7418047737122002</v>
      </c>
      <c r="T79">
        <v>126.60896007511211</v>
      </c>
      <c r="U79">
        <f t="shared" si="28"/>
        <v>130.38297817757422</v>
      </c>
      <c r="V79">
        <v>6.085606753960509E-2</v>
      </c>
      <c r="W79">
        <f t="shared" si="29"/>
        <v>6.1807891375441196E-2</v>
      </c>
    </row>
    <row r="80" spans="1:23">
      <c r="A80">
        <v>77</v>
      </c>
      <c r="B80">
        <f t="shared" si="15"/>
        <v>71.416666666666671</v>
      </c>
      <c r="C80">
        <f t="shared" si="16"/>
        <v>0.80192315845763928</v>
      </c>
      <c r="D80" s="21">
        <v>6.4737621873581003E-4</v>
      </c>
      <c r="E80">
        <f t="shared" si="24"/>
        <v>0.10799249811755218</v>
      </c>
      <c r="F80">
        <f t="shared" si="17"/>
        <v>0.11428073625537667</v>
      </c>
      <c r="G80" s="22">
        <f t="shared" si="25"/>
        <v>6.4737621873580916E-4</v>
      </c>
      <c r="H80" s="21">
        <v>0.11765569557543699</v>
      </c>
      <c r="I80">
        <f t="shared" si="18"/>
        <v>3.0551395720218599E-2</v>
      </c>
      <c r="J80" s="22">
        <f t="shared" si="26"/>
        <v>0.11765569557543699</v>
      </c>
      <c r="K80">
        <f t="shared" si="27"/>
        <v>3.0089418466716089E-2</v>
      </c>
      <c r="L80">
        <v>1.4847312091894604E-3</v>
      </c>
      <c r="M80">
        <f t="shared" si="19"/>
        <v>3.0089418466716089E-2</v>
      </c>
      <c r="N80">
        <f t="shared" si="20"/>
        <v>0.11765569557543699</v>
      </c>
      <c r="O80">
        <v>6.4737621873580916E-4</v>
      </c>
      <c r="P80">
        <f t="shared" si="21"/>
        <v>0.11700831935670118</v>
      </c>
      <c r="Q80">
        <f t="shared" si="22"/>
        <v>0.88234430442456302</v>
      </c>
      <c r="R80">
        <f t="shared" si="23"/>
        <v>1</v>
      </c>
      <c r="S80">
        <v>1.553702924965942</v>
      </c>
      <c r="T80">
        <v>122.85873532453624</v>
      </c>
      <c r="U80">
        <f t="shared" si="28"/>
        <v>126.38160154916324</v>
      </c>
      <c r="V80">
        <v>5.9009113128964522E-2</v>
      </c>
      <c r="W80">
        <f t="shared" si="29"/>
        <v>5.9932590334284802E-2</v>
      </c>
    </row>
    <row r="81" spans="1:23">
      <c r="A81">
        <v>78</v>
      </c>
      <c r="B81">
        <f t="shared" si="15"/>
        <v>71.5</v>
      </c>
      <c r="C81">
        <f t="shared" si="16"/>
        <v>0.7996275088666952</v>
      </c>
      <c r="D81" s="21">
        <v>5.7729283145556605E-4</v>
      </c>
      <c r="E81">
        <f t="shared" si="24"/>
        <v>0.10825758693623644</v>
      </c>
      <c r="F81">
        <f t="shared" si="17"/>
        <v>0.11457796269773232</v>
      </c>
      <c r="G81" s="22">
        <f t="shared" si="25"/>
        <v>5.7729283145556529E-4</v>
      </c>
      <c r="H81" s="21">
        <v>0.114110973367229</v>
      </c>
      <c r="I81">
        <f t="shared" si="18"/>
        <v>3.0591099694066551E-2</v>
      </c>
      <c r="J81" s="22">
        <f t="shared" si="26"/>
        <v>0.114110973367229</v>
      </c>
      <c r="K81">
        <f t="shared" si="27"/>
        <v>3.0127927006604049E-2</v>
      </c>
      <c r="L81">
        <v>1.4847312091894604E-3</v>
      </c>
      <c r="M81">
        <f t="shared" si="19"/>
        <v>3.0127927006604049E-2</v>
      </c>
      <c r="N81">
        <f t="shared" si="20"/>
        <v>0.114110973367229</v>
      </c>
      <c r="O81">
        <v>5.7729283145556529E-4</v>
      </c>
      <c r="P81">
        <f t="shared" si="21"/>
        <v>0.11353368053577344</v>
      </c>
      <c r="Q81">
        <f t="shared" si="22"/>
        <v>0.88588902663277103</v>
      </c>
      <c r="R81">
        <f t="shared" si="23"/>
        <v>1</v>
      </c>
      <c r="S81">
        <v>1.3855027954933568</v>
      </c>
      <c r="T81">
        <v>119.21036456256211</v>
      </c>
      <c r="U81">
        <f t="shared" si="28"/>
        <v>122.50415280377882</v>
      </c>
      <c r="V81">
        <v>5.7217128676422056E-2</v>
      </c>
      <c r="W81">
        <f t="shared" si="29"/>
        <v>5.8113120902693285E-2</v>
      </c>
    </row>
    <row r="82" spans="1:23">
      <c r="A82">
        <v>79</v>
      </c>
      <c r="B82">
        <f t="shared" si="15"/>
        <v>71.583333333333329</v>
      </c>
      <c r="C82">
        <f t="shared" si="16"/>
        <v>0.79733843098650548</v>
      </c>
      <c r="D82" s="21">
        <v>5.1464508515164104E-4</v>
      </c>
      <c r="E82">
        <f t="shared" si="24"/>
        <v>0.10851987568590993</v>
      </c>
      <c r="F82">
        <f t="shared" si="17"/>
        <v>0.11487213658356787</v>
      </c>
      <c r="G82" s="22">
        <f t="shared" si="25"/>
        <v>5.1464508515164039E-4</v>
      </c>
      <c r="H82" s="21">
        <v>0.11066870295362</v>
      </c>
      <c r="I82">
        <f t="shared" si="18"/>
        <v>3.0630345226045748E-2</v>
      </c>
      <c r="J82" s="22">
        <f t="shared" si="26"/>
        <v>0.11066870295362</v>
      </c>
      <c r="K82">
        <f t="shared" si="27"/>
        <v>3.0165989405166016E-2</v>
      </c>
      <c r="L82">
        <v>1.4847312091894604E-3</v>
      </c>
      <c r="M82">
        <f t="shared" si="19"/>
        <v>3.0165989405166016E-2</v>
      </c>
      <c r="N82">
        <f t="shared" si="20"/>
        <v>0.11066870295362</v>
      </c>
      <c r="O82">
        <v>5.1464508515164039E-4</v>
      </c>
      <c r="P82">
        <f t="shared" si="21"/>
        <v>0.11015405786846835</v>
      </c>
      <c r="Q82">
        <f t="shared" si="22"/>
        <v>0.88933129704638003</v>
      </c>
      <c r="R82">
        <f t="shared" si="23"/>
        <v>1</v>
      </c>
      <c r="S82">
        <v>1.235148204363937</v>
      </c>
      <c r="T82">
        <v>115.66176076189177</v>
      </c>
      <c r="U82">
        <f t="shared" si="28"/>
        <v>118.74638816215558</v>
      </c>
      <c r="V82">
        <v>5.5478452100652456E-2</v>
      </c>
      <c r="W82">
        <f t="shared" si="29"/>
        <v>5.6347790388537253E-2</v>
      </c>
    </row>
    <row r="83" spans="1:23">
      <c r="A83">
        <v>80</v>
      </c>
      <c r="B83">
        <f t="shared" si="15"/>
        <v>71.666666666666671</v>
      </c>
      <c r="C83">
        <f t="shared" si="16"/>
        <v>0.79505590600436338</v>
      </c>
      <c r="D83" s="21">
        <v>4.5866228672268599E-4</v>
      </c>
      <c r="E83">
        <f t="shared" si="24"/>
        <v>0.1087794288610755</v>
      </c>
      <c r="F83">
        <f t="shared" si="17"/>
        <v>0.11516332755876814</v>
      </c>
      <c r="G83" s="22">
        <f t="shared" si="25"/>
        <v>4.586622867226854E-4</v>
      </c>
      <c r="H83" s="21">
        <v>0.107326107900433</v>
      </c>
      <c r="I83">
        <f t="shared" si="18"/>
        <v>3.0669143349879347E-2</v>
      </c>
      <c r="J83" s="22">
        <f t="shared" si="26"/>
        <v>0.107326107900433</v>
      </c>
      <c r="K83">
        <f t="shared" si="27"/>
        <v>3.0203616415273693E-2</v>
      </c>
      <c r="L83">
        <v>1.4847312091894604E-3</v>
      </c>
      <c r="M83">
        <f t="shared" si="19"/>
        <v>3.0203616415273693E-2</v>
      </c>
      <c r="N83">
        <f t="shared" si="20"/>
        <v>0.107326107900433</v>
      </c>
      <c r="O83">
        <v>4.586622867226854E-4</v>
      </c>
      <c r="P83">
        <f t="shared" si="21"/>
        <v>0.10686744561371031</v>
      </c>
      <c r="Q83">
        <f t="shared" si="22"/>
        <v>0.89267389209956705</v>
      </c>
      <c r="R83">
        <f t="shared" si="23"/>
        <v>1</v>
      </c>
      <c r="S83">
        <v>1.1007894881344449</v>
      </c>
      <c r="T83">
        <v>112.21081789439583</v>
      </c>
      <c r="U83">
        <f t="shared" si="28"/>
        <v>115.10425817439298</v>
      </c>
      <c r="V83">
        <v>5.3791479390498852E-2</v>
      </c>
      <c r="W83">
        <f t="shared" si="29"/>
        <v>5.463496574557565E-2</v>
      </c>
    </row>
    <row r="84" spans="1:23">
      <c r="A84">
        <v>81</v>
      </c>
      <c r="B84">
        <f t="shared" si="15"/>
        <v>71.75</v>
      </c>
      <c r="C84">
        <f t="shared" si="16"/>
        <v>0.79277991516141666</v>
      </c>
      <c r="D84" s="21">
        <v>4.0865144404607102E-4</v>
      </c>
      <c r="E84">
        <f t="shared" si="24"/>
        <v>0.1090363086835876</v>
      </c>
      <c r="F84">
        <f t="shared" si="17"/>
        <v>0.11545160282828168</v>
      </c>
      <c r="G84" s="22">
        <f t="shared" si="25"/>
        <v>4.0865144404607053E-4</v>
      </c>
      <c r="H84" s="21">
        <v>0.104080478561907</v>
      </c>
      <c r="I84">
        <f t="shared" si="18"/>
        <v>3.0707504698992829E-2</v>
      </c>
      <c r="J84" s="22">
        <f t="shared" si="26"/>
        <v>0.104080478561907</v>
      </c>
      <c r="K84">
        <f t="shared" si="27"/>
        <v>3.0240818399349667E-2</v>
      </c>
      <c r="L84">
        <v>1.4847312091894604E-3</v>
      </c>
      <c r="M84">
        <f t="shared" si="19"/>
        <v>3.0240818399349667E-2</v>
      </c>
      <c r="N84">
        <f t="shared" si="20"/>
        <v>0.104080478561907</v>
      </c>
      <c r="O84">
        <v>4.0865144404607053E-4</v>
      </c>
      <c r="P84">
        <f t="shared" si="21"/>
        <v>0.10367182711786092</v>
      </c>
      <c r="Q84">
        <f t="shared" si="22"/>
        <v>0.89591952143809306</v>
      </c>
      <c r="R84">
        <f t="shared" si="23"/>
        <v>1</v>
      </c>
      <c r="S84">
        <v>0.98076346571056927</v>
      </c>
      <c r="T84">
        <v>108.85541847375397</v>
      </c>
      <c r="U84">
        <f t="shared" si="28"/>
        <v>111.57389466099741</v>
      </c>
      <c r="V84">
        <v>5.2154661685286395E-2</v>
      </c>
      <c r="W84">
        <f t="shared" si="29"/>
        <v>5.2973070537892623E-2</v>
      </c>
    </row>
    <row r="85" spans="1:23">
      <c r="A85">
        <v>82</v>
      </c>
      <c r="B85">
        <f t="shared" si="15"/>
        <v>71.833333333333329</v>
      </c>
      <c r="C85">
        <f t="shared" si="16"/>
        <v>0.79051043975251467</v>
      </c>
      <c r="D85" s="21">
        <v>3.6398969266594901E-4</v>
      </c>
      <c r="E85">
        <f t="shared" si="24"/>
        <v>0.1092905752098281</v>
      </c>
      <c r="F85">
        <f t="shared" si="17"/>
        <v>0.11573702727081055</v>
      </c>
      <c r="G85" s="22">
        <f t="shared" si="25"/>
        <v>3.6398969266594858E-4</v>
      </c>
      <c r="H85" s="21">
        <v>0.100929170907554</v>
      </c>
      <c r="I85">
        <f t="shared" si="18"/>
        <v>3.0745439525847067E-2</v>
      </c>
      <c r="J85" s="22">
        <f t="shared" si="26"/>
        <v>0.100929170907554</v>
      </c>
      <c r="K85">
        <f t="shared" si="27"/>
        <v>3.0277605348236314E-2</v>
      </c>
      <c r="L85">
        <v>1.4847312091894604E-3</v>
      </c>
      <c r="M85">
        <f t="shared" si="19"/>
        <v>3.0277605348236314E-2</v>
      </c>
      <c r="N85">
        <f t="shared" si="20"/>
        <v>0.100929170907554</v>
      </c>
      <c r="O85">
        <v>3.6398969266594858E-4</v>
      </c>
      <c r="P85">
        <f t="shared" si="21"/>
        <v>0.10056518121488806</v>
      </c>
      <c r="Q85">
        <f t="shared" si="22"/>
        <v>0.89907082909244596</v>
      </c>
      <c r="R85">
        <f t="shared" si="23"/>
        <v>1</v>
      </c>
      <c r="S85">
        <v>0.87357526239827654</v>
      </c>
      <c r="T85">
        <v>105.59344027563246</v>
      </c>
      <c r="U85">
        <f t="shared" si="28"/>
        <v>108.15159873874764</v>
      </c>
      <c r="V85">
        <v>5.0566502567723465E-2</v>
      </c>
      <c r="W85">
        <f t="shared" si="29"/>
        <v>5.1360582126504933E-2</v>
      </c>
    </row>
    <row r="86" spans="1:23">
      <c r="A86">
        <v>83</v>
      </c>
      <c r="B86">
        <f t="shared" si="15"/>
        <v>71.916666666666671</v>
      </c>
      <c r="C86">
        <f t="shared" si="16"/>
        <v>0.78824746112605237</v>
      </c>
      <c r="D86" s="21">
        <v>3.24117429493803E-4</v>
      </c>
      <c r="E86">
        <f t="shared" si="24"/>
        <v>0.10954228643155206</v>
      </c>
      <c r="F86">
        <f t="shared" si="17"/>
        <v>0.11601966354674313</v>
      </c>
      <c r="G86" s="22">
        <f t="shared" si="25"/>
        <v>3.2411742949380262E-4</v>
      </c>
      <c r="H86" s="21">
        <v>9.7869605342944796E-2</v>
      </c>
      <c r="I86">
        <f t="shared" si="18"/>
        <v>3.0782957720086358E-2</v>
      </c>
      <c r="J86" s="22">
        <f t="shared" si="26"/>
        <v>9.7869605342944796E-2</v>
      </c>
      <c r="K86">
        <f t="shared" si="27"/>
        <v>3.0313986898907741E-2</v>
      </c>
      <c r="L86">
        <v>1.4847312091894604E-3</v>
      </c>
      <c r="M86">
        <f t="shared" si="19"/>
        <v>3.0313986898907741E-2</v>
      </c>
      <c r="N86">
        <f t="shared" si="20"/>
        <v>9.7869605342944796E-2</v>
      </c>
      <c r="O86">
        <v>3.2411742949380262E-4</v>
      </c>
      <c r="P86">
        <f t="shared" si="21"/>
        <v>9.7545487913450996E-2</v>
      </c>
      <c r="Q86">
        <f t="shared" si="22"/>
        <v>0.90213039465705525</v>
      </c>
      <c r="R86">
        <f t="shared" si="23"/>
        <v>1</v>
      </c>
      <c r="S86">
        <v>0.77788183078512629</v>
      </c>
      <c r="T86">
        <v>102.42276230912354</v>
      </c>
      <c r="U86">
        <f t="shared" si="28"/>
        <v>104.83382983896971</v>
      </c>
      <c r="V86">
        <v>4.9025555551730667E-2</v>
      </c>
      <c r="W86">
        <f t="shared" si="29"/>
        <v>4.9796029059727062E-2</v>
      </c>
    </row>
    <row r="87" spans="1:23">
      <c r="A87">
        <v>84</v>
      </c>
      <c r="B87">
        <f t="shared" si="15"/>
        <v>72</v>
      </c>
      <c r="C87">
        <f t="shared" si="16"/>
        <v>0.78599096068381946</v>
      </c>
      <c r="D87" s="21">
        <v>2.8853209126155802E-4</v>
      </c>
      <c r="E87">
        <f t="shared" si="24"/>
        <v>0.10979149837088709</v>
      </c>
      <c r="F87">
        <f t="shared" si="17"/>
        <v>0.11629957219984745</v>
      </c>
      <c r="G87" s="22">
        <f t="shared" si="25"/>
        <v>2.885320912615577E-4</v>
      </c>
      <c r="H87" s="21">
        <v>9.4899265526778603E-2</v>
      </c>
      <c r="I87">
        <f t="shared" si="18"/>
        <v>3.0820068825523021E-2</v>
      </c>
      <c r="J87" s="22">
        <f t="shared" si="26"/>
        <v>9.4899265526778603E-2</v>
      </c>
      <c r="K87">
        <f t="shared" si="27"/>
        <v>3.0349972351046306E-2</v>
      </c>
      <c r="L87">
        <v>1.643313239494959E-3</v>
      </c>
      <c r="M87">
        <f t="shared" si="19"/>
        <v>3.0349972351046306E-2</v>
      </c>
      <c r="N87">
        <f t="shared" si="20"/>
        <v>9.4899265526778603E-2</v>
      </c>
      <c r="O87">
        <v>2.885320912615577E-4</v>
      </c>
      <c r="P87">
        <f t="shared" si="21"/>
        <v>9.4610733435517042E-2</v>
      </c>
      <c r="Q87">
        <f t="shared" si="22"/>
        <v>0.90510073447322137</v>
      </c>
      <c r="R87">
        <f t="shared" si="23"/>
        <v>1</v>
      </c>
      <c r="S87">
        <v>0.69247701902773851</v>
      </c>
      <c r="T87">
        <v>99.3412701072929</v>
      </c>
      <c r="U87">
        <f t="shared" si="28"/>
        <v>101.61719563311465</v>
      </c>
      <c r="V87">
        <v>4.7530421748942536E-2</v>
      </c>
      <c r="W87">
        <f t="shared" si="29"/>
        <v>4.8277988650336598E-2</v>
      </c>
    </row>
    <row r="88" spans="1:23">
      <c r="A88">
        <v>85</v>
      </c>
      <c r="B88">
        <f t="shared" si="15"/>
        <v>72.083333333333329</v>
      </c>
      <c r="C88">
        <f t="shared" si="16"/>
        <v>0.7837409198808456</v>
      </c>
      <c r="D88" s="21">
        <v>2.5678252049329099E-4</v>
      </c>
      <c r="E88">
        <f t="shared" si="24"/>
        <v>0.11003826516990667</v>
      </c>
      <c r="F88">
        <f t="shared" si="17"/>
        <v>0.11657681175317351</v>
      </c>
      <c r="G88" s="22">
        <f t="shared" si="25"/>
        <v>2.5678252049329072E-4</v>
      </c>
      <c r="H88" s="21">
        <v>9.2015697186369302E-2</v>
      </c>
      <c r="I88">
        <f t="shared" si="18"/>
        <v>3.0856782056279428E-2</v>
      </c>
      <c r="J88" s="22">
        <f t="shared" si="26"/>
        <v>9.2015697186369302E-2</v>
      </c>
      <c r="K88">
        <f t="shared" si="27"/>
        <v>3.038557068279546E-2</v>
      </c>
      <c r="L88">
        <v>1.643313239494959E-3</v>
      </c>
      <c r="M88">
        <f t="shared" si="19"/>
        <v>3.038557068279546E-2</v>
      </c>
      <c r="N88">
        <f t="shared" si="20"/>
        <v>9.2015697186369302E-2</v>
      </c>
      <c r="O88">
        <v>2.5678252049329072E-4</v>
      </c>
      <c r="P88">
        <f t="shared" si="21"/>
        <v>9.1758914665876018E-2</v>
      </c>
      <c r="Q88">
        <f t="shared" si="22"/>
        <v>0.90798430281363074</v>
      </c>
      <c r="R88">
        <f t="shared" si="23"/>
        <v>1</v>
      </c>
      <c r="S88">
        <v>0.61627804918389772</v>
      </c>
      <c r="T88">
        <v>96.346860399169813</v>
      </c>
      <c r="U88">
        <f t="shared" si="28"/>
        <v>98.498442787337183</v>
      </c>
      <c r="V88">
        <v>4.6079747698922778E-2</v>
      </c>
      <c r="W88">
        <f t="shared" si="29"/>
        <v>4.6805084723932661E-2</v>
      </c>
    </row>
    <row r="89" spans="1:23">
      <c r="A89">
        <v>86</v>
      </c>
      <c r="B89">
        <f t="shared" si="15"/>
        <v>72.166666666666671</v>
      </c>
      <c r="C89">
        <f t="shared" si="16"/>
        <v>0.78149732022524909</v>
      </c>
      <c r="D89" s="21">
        <v>2.2846386643926399E-4</v>
      </c>
      <c r="E89">
        <f t="shared" si="24"/>
        <v>0.11028263917507142</v>
      </c>
      <c r="F89">
        <f t="shared" si="17"/>
        <v>0.11685143879947334</v>
      </c>
      <c r="G89" s="22">
        <f t="shared" si="25"/>
        <v>2.2846386643926374E-4</v>
      </c>
      <c r="H89" s="21">
        <v>8.9216506933524301E-2</v>
      </c>
      <c r="I89">
        <f t="shared" si="18"/>
        <v>3.0893106311892231E-2</v>
      </c>
      <c r="J89" s="22">
        <f t="shared" si="26"/>
        <v>8.9216506933524301E-2</v>
      </c>
      <c r="K89">
        <f t="shared" si="27"/>
        <v>3.0420790565499956E-2</v>
      </c>
      <c r="L89">
        <v>1.643313239494959E-3</v>
      </c>
      <c r="M89">
        <f t="shared" si="19"/>
        <v>3.0420790565499956E-2</v>
      </c>
      <c r="N89">
        <f t="shared" si="20"/>
        <v>8.9216506933524301E-2</v>
      </c>
      <c r="O89">
        <v>2.2846386643926374E-4</v>
      </c>
      <c r="P89">
        <f t="shared" si="21"/>
        <v>8.8988043067085035E-2</v>
      </c>
      <c r="Q89">
        <f t="shared" si="22"/>
        <v>0.91078349306647566</v>
      </c>
      <c r="R89">
        <f t="shared" si="23"/>
        <v>1</v>
      </c>
      <c r="S89">
        <v>0.54831327945423303</v>
      </c>
      <c r="T89">
        <v>93.437445220439287</v>
      </c>
      <c r="U89">
        <f t="shared" si="28"/>
        <v>95.474448474123619</v>
      </c>
      <c r="V89">
        <v>4.4672223349365145E-2</v>
      </c>
      <c r="W89">
        <f t="shared" si="29"/>
        <v>4.5375985524143958E-2</v>
      </c>
    </row>
    <row r="90" spans="1:23">
      <c r="A90">
        <v>87</v>
      </c>
      <c r="B90">
        <f t="shared" si="15"/>
        <v>72.25</v>
      </c>
      <c r="C90">
        <f t="shared" si="16"/>
        <v>0.77926014327808446</v>
      </c>
      <c r="D90" s="21">
        <v>2.0321297276179199E-4</v>
      </c>
      <c r="E90">
        <f t="shared" si="24"/>
        <v>0.11052467101700225</v>
      </c>
      <c r="F90">
        <f t="shared" si="17"/>
        <v>0.11712350808663968</v>
      </c>
      <c r="G90" s="22">
        <f t="shared" si="25"/>
        <v>2.0321297276179178E-4</v>
      </c>
      <c r="H90" s="21">
        <v>8.6499361082607001E-2</v>
      </c>
      <c r="I90">
        <f t="shared" si="18"/>
        <v>3.0929050191598785E-2</v>
      </c>
      <c r="J90" s="22">
        <f t="shared" si="26"/>
        <v>8.6499361082607001E-2</v>
      </c>
      <c r="K90">
        <f t="shared" si="27"/>
        <v>3.0455640377647364E-2</v>
      </c>
      <c r="L90">
        <v>1.643313239494959E-3</v>
      </c>
      <c r="M90">
        <f t="shared" si="19"/>
        <v>3.0455640377647364E-2</v>
      </c>
      <c r="N90">
        <f t="shared" si="20"/>
        <v>8.6499361082607001E-2</v>
      </c>
      <c r="O90">
        <v>2.0321297276179178E-4</v>
      </c>
      <c r="P90">
        <f t="shared" si="21"/>
        <v>8.6296148109845205E-2</v>
      </c>
      <c r="Q90">
        <f t="shared" si="22"/>
        <v>0.91350063891739297</v>
      </c>
      <c r="R90">
        <f t="shared" si="23"/>
        <v>1</v>
      </c>
      <c r="S90">
        <v>0.48771113462830029</v>
      </c>
      <c r="T90">
        <v>90.610955515337466</v>
      </c>
      <c r="U90">
        <f t="shared" si="28"/>
        <v>92.542212574929636</v>
      </c>
      <c r="V90">
        <v>4.3306580173676799E-2</v>
      </c>
      <c r="W90">
        <f t="shared" si="29"/>
        <v>4.3989401761520969E-2</v>
      </c>
    </row>
    <row r="91" spans="1:23">
      <c r="A91">
        <v>88</v>
      </c>
      <c r="B91">
        <f t="shared" si="15"/>
        <v>72.333333333333329</v>
      </c>
      <c r="C91">
        <f t="shared" si="16"/>
        <v>0.77702937065319144</v>
      </c>
      <c r="D91" s="21">
        <v>1.8070420779334E-4</v>
      </c>
      <c r="E91">
        <f t="shared" si="24"/>
        <v>0.11076440968577805</v>
      </c>
      <c r="F91">
        <f t="shared" si="17"/>
        <v>0.11739307259836174</v>
      </c>
      <c r="G91" s="22">
        <f t="shared" si="25"/>
        <v>1.8070420779333981E-4</v>
      </c>
      <c r="H91" s="21">
        <v>8.3861984472423198E-2</v>
      </c>
      <c r="I91">
        <f t="shared" si="18"/>
        <v>3.0964622007794717E-2</v>
      </c>
      <c r="J91" s="22">
        <f t="shared" si="26"/>
        <v>8.3861984472423198E-2</v>
      </c>
      <c r="K91">
        <f t="shared" si="27"/>
        <v>3.0490128218000456E-2</v>
      </c>
      <c r="L91">
        <v>1.643313239494959E-3</v>
      </c>
      <c r="M91">
        <f t="shared" si="19"/>
        <v>3.0490128218000456E-2</v>
      </c>
      <c r="N91">
        <f t="shared" si="20"/>
        <v>8.3861984472423198E-2</v>
      </c>
      <c r="O91">
        <v>1.8070420779333981E-4</v>
      </c>
      <c r="P91">
        <f t="shared" si="21"/>
        <v>8.3681280264629856E-2</v>
      </c>
      <c r="Q91">
        <f t="shared" si="22"/>
        <v>0.91613801552757679</v>
      </c>
      <c r="R91">
        <f t="shared" si="23"/>
        <v>1</v>
      </c>
      <c r="S91">
        <v>0.43369009870401554</v>
      </c>
      <c r="T91">
        <v>87.865344277861354</v>
      </c>
      <c r="U91">
        <f t="shared" si="28"/>
        <v>89.698850513265569</v>
      </c>
      <c r="V91">
        <v>4.1981589414393734E-2</v>
      </c>
      <c r="W91">
        <f t="shared" si="29"/>
        <v>4.2644084794035267E-2</v>
      </c>
    </row>
    <row r="92" spans="1:23">
      <c r="A92">
        <v>89</v>
      </c>
      <c r="B92">
        <f t="shared" si="15"/>
        <v>72.416666666666671</v>
      </c>
      <c r="C92">
        <f t="shared" si="16"/>
        <v>0.77480498401704267</v>
      </c>
      <c r="D92" s="21">
        <v>1.6064569692006699E-4</v>
      </c>
      <c r="E92">
        <f t="shared" si="24"/>
        <v>0.11100190260213894</v>
      </c>
      <c r="F92">
        <f t="shared" si="17"/>
        <v>0.11766018363040893</v>
      </c>
      <c r="G92" s="22">
        <f t="shared" si="25"/>
        <v>1.6064569692006683E-4</v>
      </c>
      <c r="H92" s="21">
        <v>8.13021592934213E-2</v>
      </c>
      <c r="I92">
        <f t="shared" si="18"/>
        <v>3.0999829798773804E-2</v>
      </c>
      <c r="J92" s="22">
        <f t="shared" si="26"/>
        <v>8.13021592934213E-2</v>
      </c>
      <c r="K92">
        <f t="shared" si="27"/>
        <v>3.0524261918028706E-2</v>
      </c>
      <c r="L92">
        <v>1.643313239494959E-3</v>
      </c>
      <c r="M92">
        <f t="shared" si="19"/>
        <v>3.0524261918028706E-2</v>
      </c>
      <c r="N92">
        <f t="shared" si="20"/>
        <v>8.13021592934213E-2</v>
      </c>
      <c r="O92">
        <v>1.6064569692006683E-4</v>
      </c>
      <c r="P92">
        <f t="shared" si="21"/>
        <v>8.1141513596501236E-2</v>
      </c>
      <c r="Q92">
        <f t="shared" si="22"/>
        <v>0.91869784070657867</v>
      </c>
      <c r="R92">
        <f t="shared" si="23"/>
        <v>1</v>
      </c>
      <c r="S92">
        <v>0.38554967260816037</v>
      </c>
      <c r="T92">
        <v>85.198589276326302</v>
      </c>
      <c r="U92">
        <f t="shared" si="28"/>
        <v>86.941586662749927</v>
      </c>
      <c r="V92">
        <v>4.0696060441848272E-2</v>
      </c>
      <c r="W92">
        <f t="shared" si="29"/>
        <v>4.1338824928121007E-2</v>
      </c>
    </row>
    <row r="93" spans="1:23">
      <c r="A93">
        <v>90</v>
      </c>
      <c r="B93">
        <f t="shared" si="15"/>
        <v>72.5</v>
      </c>
      <c r="C93">
        <f t="shared" si="16"/>
        <v>0.77258696508859459</v>
      </c>
      <c r="D93" s="21">
        <v>1.42775920095841E-4</v>
      </c>
      <c r="E93">
        <f t="shared" si="24"/>
        <v>0.11123719568484625</v>
      </c>
      <c r="F93">
        <f t="shared" si="17"/>
        <v>0.11792489086280954</v>
      </c>
      <c r="G93" s="22">
        <f t="shared" si="25"/>
        <v>1.4277592009584084E-4</v>
      </c>
      <c r="H93" s="21">
        <v>7.8817723921567606E-2</v>
      </c>
      <c r="I93">
        <f t="shared" si="18"/>
        <v>3.1034681340731621E-2</v>
      </c>
      <c r="J93" s="22">
        <f t="shared" si="26"/>
        <v>7.8817723921567606E-2</v>
      </c>
      <c r="K93">
        <f t="shared" si="27"/>
        <v>3.055804905362125E-2</v>
      </c>
      <c r="L93">
        <v>1.643313239494959E-3</v>
      </c>
      <c r="M93">
        <f t="shared" si="19"/>
        <v>3.055804905362125E-2</v>
      </c>
      <c r="N93">
        <f t="shared" si="20"/>
        <v>7.8817723921567606E-2</v>
      </c>
      <c r="O93">
        <v>1.4277592009584084E-4</v>
      </c>
      <c r="P93">
        <f t="shared" si="21"/>
        <v>7.8674948001471762E-2</v>
      </c>
      <c r="Q93">
        <f t="shared" si="22"/>
        <v>0.92118227607843239</v>
      </c>
      <c r="R93">
        <f t="shared" si="23"/>
        <v>1</v>
      </c>
      <c r="S93">
        <v>0.34266220823001803</v>
      </c>
      <c r="T93">
        <v>82.608695401545347</v>
      </c>
      <c r="U93">
        <f t="shared" si="28"/>
        <v>84.267748279354919</v>
      </c>
      <c r="V93">
        <v>3.9448839218410636E-2</v>
      </c>
      <c r="W93">
        <f t="shared" si="29"/>
        <v>4.0072449830129454E-2</v>
      </c>
    </row>
    <row r="94" spans="1:23">
      <c r="A94">
        <v>91</v>
      </c>
      <c r="B94">
        <f t="shared" si="15"/>
        <v>72.583333333333329</v>
      </c>
      <c r="C94">
        <f t="shared" si="16"/>
        <v>0.77037529563913598</v>
      </c>
      <c r="D94" s="21">
        <v>1.2686064067921499E-4</v>
      </c>
      <c r="E94">
        <f t="shared" si="24"/>
        <v>0.11147033341436419</v>
      </c>
      <c r="F94">
        <f t="shared" si="17"/>
        <v>0.11818724242809467</v>
      </c>
      <c r="G94" s="22">
        <f t="shared" si="25"/>
        <v>1.2686064067921486E-4</v>
      </c>
      <c r="H94" s="21">
        <v>7.6406571760127703E-2</v>
      </c>
      <c r="I94">
        <f t="shared" si="18"/>
        <v>3.1069184159137384E-2</v>
      </c>
      <c r="J94" s="22">
        <f t="shared" si="26"/>
        <v>7.6406571760127703E-2</v>
      </c>
      <c r="K94">
        <f t="shared" si="27"/>
        <v>3.0591496956182906E-2</v>
      </c>
      <c r="L94">
        <v>1.643313239494959E-3</v>
      </c>
      <c r="M94">
        <f t="shared" si="19"/>
        <v>3.0591496956182906E-2</v>
      </c>
      <c r="N94">
        <f t="shared" si="20"/>
        <v>7.6406571760127703E-2</v>
      </c>
      <c r="O94">
        <v>1.2686064067921486E-4</v>
      </c>
      <c r="P94">
        <f t="shared" si="21"/>
        <v>7.6279711119448493E-2</v>
      </c>
      <c r="Q94">
        <f t="shared" si="22"/>
        <v>0.92359342823987234</v>
      </c>
      <c r="R94">
        <f t="shared" si="23"/>
        <v>1</v>
      </c>
      <c r="S94">
        <v>0.30446553763011563</v>
      </c>
      <c r="T94">
        <v>80.093696675420915</v>
      </c>
      <c r="U94">
        <f t="shared" si="28"/>
        <v>81.674759911413204</v>
      </c>
      <c r="V94">
        <v>3.8238806859454036E-2</v>
      </c>
      <c r="W94">
        <f t="shared" si="29"/>
        <v>3.8843823038932336E-2</v>
      </c>
    </row>
    <row r="95" spans="1:23">
      <c r="A95">
        <v>92</v>
      </c>
      <c r="B95">
        <f t="shared" si="15"/>
        <v>72.666666666666671</v>
      </c>
      <c r="C95">
        <f t="shared" si="16"/>
        <v>0.76816995749213846</v>
      </c>
      <c r="D95" s="21">
        <v>1.12690134725272E-4</v>
      </c>
      <c r="E95">
        <f t="shared" si="24"/>
        <v>0.11170135889330013</v>
      </c>
      <c r="F95">
        <f t="shared" si="17"/>
        <v>0.1184472849760861</v>
      </c>
      <c r="G95" s="22">
        <f t="shared" si="25"/>
        <v>1.1269013472527189E-4</v>
      </c>
      <c r="H95" s="21">
        <v>7.4066650090471906E-2</v>
      </c>
      <c r="I95">
        <f t="shared" si="18"/>
        <v>3.1103345539488892E-2</v>
      </c>
      <c r="J95" s="22">
        <f t="shared" si="26"/>
        <v>7.4066650090471906E-2</v>
      </c>
      <c r="K95">
        <f t="shared" si="27"/>
        <v>3.0624612723127997E-2</v>
      </c>
      <c r="L95">
        <v>1.643313239494959E-3</v>
      </c>
      <c r="M95">
        <f t="shared" si="19"/>
        <v>3.0624612723127997E-2</v>
      </c>
      <c r="N95">
        <f t="shared" si="20"/>
        <v>7.4066650090471906E-2</v>
      </c>
      <c r="O95">
        <v>1.1269013472527189E-4</v>
      </c>
      <c r="P95">
        <f t="shared" si="21"/>
        <v>7.3953959955746634E-2</v>
      </c>
      <c r="Q95">
        <f t="shared" si="22"/>
        <v>0.92593334990952814</v>
      </c>
      <c r="R95">
        <f t="shared" si="23"/>
        <v>1</v>
      </c>
      <c r="S95">
        <v>0.27045632334065256</v>
      </c>
      <c r="T95">
        <v>77.65165795353397</v>
      </c>
      <c r="U95">
        <f t="shared" si="28"/>
        <v>79.160138244962837</v>
      </c>
      <c r="V95">
        <v>3.7064878282959027E-2</v>
      </c>
      <c r="W95">
        <f t="shared" si="29"/>
        <v>3.7651842571206531E-2</v>
      </c>
    </row>
    <row r="96" spans="1:23">
      <c r="A96">
        <v>93</v>
      </c>
      <c r="B96">
        <f t="shared" si="15"/>
        <v>72.75</v>
      </c>
      <c r="C96">
        <f t="shared" si="16"/>
        <v>0.76597093252310822</v>
      </c>
      <c r="D96" s="21">
        <v>1.00076692571639E-4</v>
      </c>
      <c r="E96">
        <f t="shared" si="24"/>
        <v>0.11193031390354968</v>
      </c>
      <c r="F96">
        <f t="shared" si="17"/>
        <v>0.11870506373515446</v>
      </c>
      <c r="G96" s="22">
        <f t="shared" si="25"/>
        <v>1.0007669257163891E-4</v>
      </c>
      <c r="H96" s="21">
        <v>7.1795958932915405E-2</v>
      </c>
      <c r="I96">
        <f t="shared" si="18"/>
        <v>3.1137172537486647E-2</v>
      </c>
      <c r="J96" s="22">
        <f t="shared" si="26"/>
        <v>7.1795958932915405E-2</v>
      </c>
      <c r="K96">
        <f t="shared" si="27"/>
        <v>3.065740322780719E-2</v>
      </c>
      <c r="L96">
        <v>1.643313239494959E-3</v>
      </c>
      <c r="M96">
        <f t="shared" si="19"/>
        <v>3.065740322780719E-2</v>
      </c>
      <c r="N96">
        <f t="shared" si="20"/>
        <v>7.1795958932915405E-2</v>
      </c>
      <c r="O96">
        <v>1.0007669257163891E-4</v>
      </c>
      <c r="P96">
        <f t="shared" si="21"/>
        <v>7.1695882240343761E-2</v>
      </c>
      <c r="Q96">
        <f t="shared" si="22"/>
        <v>0.92820404106708465</v>
      </c>
      <c r="R96">
        <f t="shared" si="23"/>
        <v>1</v>
      </c>
      <c r="S96">
        <v>0.24018406217193339</v>
      </c>
      <c r="T96">
        <v>75.280676352360956</v>
      </c>
      <c r="U96">
        <f t="shared" si="28"/>
        <v>76.721487345703764</v>
      </c>
      <c r="V96">
        <v>3.5926000940377761E-2</v>
      </c>
      <c r="W96">
        <f t="shared" si="29"/>
        <v>3.6495439611668394E-2</v>
      </c>
    </row>
    <row r="97" spans="1:23">
      <c r="A97">
        <v>94</v>
      </c>
      <c r="B97">
        <f t="shared" si="15"/>
        <v>72.833333333333329</v>
      </c>
      <c r="C97">
        <f t="shared" si="16"/>
        <v>0.76377820265943441</v>
      </c>
      <c r="D97" s="21">
        <v>8.8852367048505206E-5</v>
      </c>
      <c r="E97">
        <f t="shared" si="24"/>
        <v>0.11215723896049989</v>
      </c>
      <c r="F97">
        <f t="shared" si="17"/>
        <v>0.11896062257033378</v>
      </c>
      <c r="G97" s="22">
        <f t="shared" si="25"/>
        <v>8.8852367048505125E-5</v>
      </c>
      <c r="H97" s="21">
        <v>6.9592549918503402E-2</v>
      </c>
      <c r="I97">
        <f t="shared" si="18"/>
        <v>3.117067198867763E-2</v>
      </c>
      <c r="J97" s="22">
        <f t="shared" si="26"/>
        <v>6.9592549918503402E-2</v>
      </c>
      <c r="K97">
        <f t="shared" si="27"/>
        <v>3.0689875128916633E-2</v>
      </c>
      <c r="L97">
        <v>1.643313239494959E-3</v>
      </c>
      <c r="M97">
        <f t="shared" si="19"/>
        <v>3.0689875128916633E-2</v>
      </c>
      <c r="N97">
        <f t="shared" si="20"/>
        <v>6.9592549918503402E-2</v>
      </c>
      <c r="O97">
        <v>8.8852367048505125E-5</v>
      </c>
      <c r="P97">
        <f t="shared" si="21"/>
        <v>6.9503697551454899E-2</v>
      </c>
      <c r="Q97">
        <f t="shared" si="22"/>
        <v>0.93040745008149661</v>
      </c>
      <c r="R97">
        <f t="shared" si="23"/>
        <v>1</v>
      </c>
      <c r="S97">
        <v>0.2132456809164123</v>
      </c>
      <c r="T97">
        <v>72.978882429027649</v>
      </c>
      <c r="U97">
        <f t="shared" si="28"/>
        <v>74.356494262238471</v>
      </c>
      <c r="V97">
        <v>3.4821153622025286E-2</v>
      </c>
      <c r="W97">
        <f t="shared" si="29"/>
        <v>3.5373577281201524E-2</v>
      </c>
    </row>
    <row r="98" spans="1:23">
      <c r="A98">
        <v>95</v>
      </c>
      <c r="B98">
        <f t="shared" si="15"/>
        <v>72.916666666666671</v>
      </c>
      <c r="C98">
        <f t="shared" si="16"/>
        <v>0.76159174988024392</v>
      </c>
      <c r="D98" s="21">
        <v>7.88669449310068E-5</v>
      </c>
      <c r="E98">
        <f t="shared" si="24"/>
        <v>0.11238217336458001</v>
      </c>
      <c r="F98">
        <f t="shared" si="17"/>
        <v>0.11921400403860745</v>
      </c>
      <c r="G98" s="22">
        <f t="shared" si="25"/>
        <v>7.8866944931006732E-5</v>
      </c>
      <c r="H98" s="21">
        <v>6.7454525172559607E-2</v>
      </c>
      <c r="I98">
        <f t="shared" si="18"/>
        <v>3.120385051759653E-2</v>
      </c>
      <c r="J98" s="22">
        <f t="shared" si="26"/>
        <v>6.7454525172559607E-2</v>
      </c>
      <c r="K98">
        <f t="shared" si="27"/>
        <v>3.0722034879416493E-2</v>
      </c>
      <c r="L98">
        <v>1.643313239494959E-3</v>
      </c>
      <c r="M98">
        <f t="shared" si="19"/>
        <v>3.0722034879416493E-2</v>
      </c>
      <c r="N98">
        <f t="shared" si="20"/>
        <v>6.7454525172559607E-2</v>
      </c>
      <c r="O98">
        <v>7.8866944931006732E-5</v>
      </c>
      <c r="P98">
        <f t="shared" si="21"/>
        <v>6.7375658227628601E-2</v>
      </c>
      <c r="Q98">
        <f t="shared" si="22"/>
        <v>0.93254547482744043</v>
      </c>
      <c r="R98">
        <f t="shared" si="23"/>
        <v>1</v>
      </c>
      <c r="S98">
        <v>0.18928066783441616</v>
      </c>
      <c r="T98">
        <v>70.744441139010036</v>
      </c>
      <c r="U98">
        <f t="shared" si="28"/>
        <v>72.062924958394262</v>
      </c>
      <c r="V98">
        <v>3.3749345330860485E-2</v>
      </c>
      <c r="W98">
        <f t="shared" si="29"/>
        <v>3.4285249476442889E-2</v>
      </c>
    </row>
    <row r="99" spans="1:23">
      <c r="A99">
        <v>96</v>
      </c>
      <c r="B99">
        <f t="shared" si="15"/>
        <v>73</v>
      </c>
      <c r="C99">
        <f t="shared" si="16"/>
        <v>0.75941155621625067</v>
      </c>
      <c r="D99" s="21">
        <v>6.9986120352956907E-5</v>
      </c>
      <c r="E99">
        <f t="shared" si="24"/>
        <v>0.11260515525000847</v>
      </c>
      <c r="F99">
        <f t="shared" si="17"/>
        <v>0.11946524944118522</v>
      </c>
      <c r="G99" s="22">
        <f t="shared" si="25"/>
        <v>6.9986120352956852E-5</v>
      </c>
      <c r="H99" s="21">
        <v>6.5380036210731199E-2</v>
      </c>
      <c r="I99">
        <f t="shared" si="18"/>
        <v>3.1236714546435142E-2</v>
      </c>
      <c r="J99" s="22">
        <f t="shared" si="26"/>
        <v>6.5380036210731199E-2</v>
      </c>
      <c r="K99">
        <f t="shared" si="27"/>
        <v>3.0753888734988966E-2</v>
      </c>
      <c r="L99">
        <v>1.7860236457136747E-3</v>
      </c>
      <c r="M99">
        <f t="shared" si="19"/>
        <v>3.0753888734988966E-2</v>
      </c>
      <c r="N99">
        <f t="shared" si="20"/>
        <v>6.5380036210731199E-2</v>
      </c>
      <c r="O99">
        <v>6.9986120352956852E-5</v>
      </c>
      <c r="P99">
        <f t="shared" si="21"/>
        <v>6.5310050090378241E-2</v>
      </c>
      <c r="Q99">
        <f t="shared" si="22"/>
        <v>0.93461996378926882</v>
      </c>
      <c r="R99">
        <f t="shared" si="23"/>
        <v>1</v>
      </c>
      <c r="S99">
        <v>0.16796668884709645</v>
      </c>
      <c r="T99">
        <v>68.575552594897147</v>
      </c>
      <c r="U99">
        <f t="shared" si="28"/>
        <v>69.838620545294347</v>
      </c>
      <c r="V99">
        <v>3.2709614219064424E-2</v>
      </c>
      <c r="W99">
        <f t="shared" si="29"/>
        <v>3.3229479774962455E-2</v>
      </c>
    </row>
    <row r="100" spans="1:23">
      <c r="A100">
        <v>97</v>
      </c>
      <c r="B100">
        <f t="shared" si="15"/>
        <v>73.083333333333329</v>
      </c>
      <c r="C100">
        <f t="shared" si="16"/>
        <v>0.75723760374960936</v>
      </c>
      <c r="D100" s="21">
        <v>6.2089850826903799E-5</v>
      </c>
      <c r="E100">
        <f t="shared" si="24"/>
        <v>0.11282622163123646</v>
      </c>
      <c r="F100">
        <f t="shared" si="17"/>
        <v>0.119714398873325</v>
      </c>
      <c r="G100" s="22">
        <f t="shared" si="25"/>
        <v>6.2089850826903758E-5</v>
      </c>
      <c r="H100" s="21">
        <v>6.3367282848184395E-2</v>
      </c>
      <c r="I100">
        <f t="shared" si="18"/>
        <v>3.1269270303263624E-2</v>
      </c>
      <c r="J100" s="22">
        <f t="shared" si="26"/>
        <v>6.3367282848184395E-2</v>
      </c>
      <c r="K100">
        <f t="shared" si="27"/>
        <v>3.0785442762058857E-2</v>
      </c>
      <c r="L100">
        <v>1.7860236457136747E-3</v>
      </c>
      <c r="M100">
        <f t="shared" si="19"/>
        <v>3.0785442762058857E-2</v>
      </c>
      <c r="N100">
        <f t="shared" si="20"/>
        <v>6.3367282848184395E-2</v>
      </c>
      <c r="O100">
        <v>6.2089850826903758E-5</v>
      </c>
      <c r="P100">
        <f t="shared" si="21"/>
        <v>6.3305192997357485E-2</v>
      </c>
      <c r="Q100">
        <f t="shared" si="22"/>
        <v>0.93663271715181562</v>
      </c>
      <c r="R100">
        <f t="shared" si="23"/>
        <v>1</v>
      </c>
      <c r="S100">
        <v>0.14901564198456901</v>
      </c>
      <c r="T100">
        <v>66.470452647225358</v>
      </c>
      <c r="U100">
        <f t="shared" si="28"/>
        <v>67.681493786477091</v>
      </c>
      <c r="V100">
        <v>3.1701026582323724E-2</v>
      </c>
      <c r="W100">
        <f t="shared" si="29"/>
        <v>3.2205320400694071E-2</v>
      </c>
    </row>
    <row r="101" spans="1:23">
      <c r="A101">
        <v>98</v>
      </c>
      <c r="B101">
        <f t="shared" si="15"/>
        <v>73.166666666666671</v>
      </c>
      <c r="C101">
        <f t="shared" si="16"/>
        <v>0.7550698746137674</v>
      </c>
      <c r="D101" s="21">
        <v>5.5070878279762197E-5</v>
      </c>
      <c r="E101">
        <f t="shared" si="24"/>
        <v>0.11304540844701549</v>
      </c>
      <c r="F101">
        <f t="shared" si="17"/>
        <v>0.11996149127160946</v>
      </c>
      <c r="G101" s="22">
        <f t="shared" si="25"/>
        <v>5.5070878279762163E-5</v>
      </c>
      <c r="H101" s="21">
        <v>6.1414512122530497E-2</v>
      </c>
      <c r="I101">
        <f t="shared" si="18"/>
        <v>3.1301523829843435E-2</v>
      </c>
      <c r="J101" s="22">
        <f t="shared" si="26"/>
        <v>6.1414512122530497E-2</v>
      </c>
      <c r="K101">
        <f t="shared" si="27"/>
        <v>3.08167028454156E-2</v>
      </c>
      <c r="L101">
        <v>1.7860236457136747E-3</v>
      </c>
      <c r="M101">
        <f t="shared" si="19"/>
        <v>3.08167028454156E-2</v>
      </c>
      <c r="N101">
        <f t="shared" si="20"/>
        <v>6.1414512122530497E-2</v>
      </c>
      <c r="O101">
        <v>5.5070878279762163E-5</v>
      </c>
      <c r="P101">
        <f t="shared" si="21"/>
        <v>6.1359441244250738E-2</v>
      </c>
      <c r="Q101">
        <f t="shared" si="22"/>
        <v>0.93858548787746954</v>
      </c>
      <c r="R101">
        <f t="shared" si="23"/>
        <v>1</v>
      </c>
      <c r="S101">
        <v>0.13217010787142919</v>
      </c>
      <c r="T101">
        <v>64.427413306463279</v>
      </c>
      <c r="U101">
        <f t="shared" si="28"/>
        <v>65.589525851772322</v>
      </c>
      <c r="V101">
        <v>3.0722675907183583E-2</v>
      </c>
      <c r="W101">
        <f t="shared" si="29"/>
        <v>3.1211851244753654E-2</v>
      </c>
    </row>
    <row r="102" spans="1:23">
      <c r="A102">
        <v>99</v>
      </c>
      <c r="B102">
        <f t="shared" si="15"/>
        <v>73.25</v>
      </c>
      <c r="C102">
        <f t="shared" si="16"/>
        <v>0.75290835099331843</v>
      </c>
      <c r="D102" s="21">
        <v>4.8833399127710799E-5</v>
      </c>
      <c r="E102">
        <f t="shared" si="24"/>
        <v>0.1132627506023195</v>
      </c>
      <c r="F102">
        <f t="shared" si="17"/>
        <v>0.12020656445892854</v>
      </c>
      <c r="G102" s="22">
        <f t="shared" si="25"/>
        <v>4.8833399127710765E-5</v>
      </c>
      <c r="H102" s="21">
        <v>5.9520017230994801E-2</v>
      </c>
      <c r="I102">
        <f t="shared" si="18"/>
        <v>3.1333480989047299E-2</v>
      </c>
      <c r="J102" s="22">
        <f t="shared" si="26"/>
        <v>5.9520017230994801E-2</v>
      </c>
      <c r="K102">
        <f t="shared" si="27"/>
        <v>3.0847674695451688E-2</v>
      </c>
      <c r="L102">
        <v>1.7860236457136747E-3</v>
      </c>
      <c r="M102">
        <f t="shared" si="19"/>
        <v>3.0847674695451688E-2</v>
      </c>
      <c r="N102">
        <f t="shared" si="20"/>
        <v>5.9520017230994801E-2</v>
      </c>
      <c r="O102">
        <v>4.8833399127710765E-5</v>
      </c>
      <c r="P102">
        <f t="shared" si="21"/>
        <v>5.9471183831867093E-2</v>
      </c>
      <c r="Q102">
        <f t="shared" si="22"/>
        <v>0.94047998276900524</v>
      </c>
      <c r="R102">
        <f t="shared" si="23"/>
        <v>1</v>
      </c>
      <c r="S102">
        <v>0.11720015790650584</v>
      </c>
      <c r="T102">
        <v>62.444743023460447</v>
      </c>
      <c r="U102">
        <f t="shared" si="28"/>
        <v>63.560763297850833</v>
      </c>
      <c r="V102">
        <v>2.9773681967253159E-2</v>
      </c>
      <c r="W102">
        <f t="shared" si="29"/>
        <v>3.0248178937218373E-2</v>
      </c>
    </row>
    <row r="103" spans="1:23">
      <c r="A103">
        <v>100</v>
      </c>
      <c r="B103">
        <f t="shared" si="15"/>
        <v>73.333333333333329</v>
      </c>
      <c r="C103">
        <f t="shared" si="16"/>
        <v>0.75075301512385662</v>
      </c>
      <c r="D103" s="21">
        <v>4.3291868890075899E-5</v>
      </c>
      <c r="E103">
        <f t="shared" si="24"/>
        <v>0.11347828200823162</v>
      </c>
      <c r="F103">
        <f t="shared" si="17"/>
        <v>0.12044965518728482</v>
      </c>
      <c r="G103" s="22">
        <f t="shared" si="25"/>
        <v>4.3291868890075872E-5</v>
      </c>
      <c r="H103" s="21">
        <v>5.7682136482278198E-2</v>
      </c>
      <c r="I103">
        <f t="shared" si="18"/>
        <v>3.1365147471903797E-2</v>
      </c>
      <c r="J103" s="22">
        <f t="shared" si="26"/>
        <v>5.7682136482278198E-2</v>
      </c>
      <c r="K103">
        <f t="shared" si="27"/>
        <v>3.087836385503484E-2</v>
      </c>
      <c r="L103">
        <v>1.7860236457136747E-3</v>
      </c>
      <c r="M103">
        <f t="shared" si="19"/>
        <v>3.087836385503484E-2</v>
      </c>
      <c r="N103">
        <f t="shared" si="20"/>
        <v>5.7682136482278198E-2</v>
      </c>
      <c r="O103">
        <v>4.3291868890075872E-5</v>
      </c>
      <c r="P103">
        <f t="shared" si="21"/>
        <v>5.763884461338812E-2</v>
      </c>
      <c r="Q103">
        <f t="shared" si="22"/>
        <v>0.94231786351772184</v>
      </c>
      <c r="R103">
        <f t="shared" si="23"/>
        <v>1</v>
      </c>
      <c r="S103">
        <v>0.1039004853361821</v>
      </c>
      <c r="T103">
        <v>60.520786844057525</v>
      </c>
      <c r="U103">
        <f t="shared" si="28"/>
        <v>61.593315255380332</v>
      </c>
      <c r="V103">
        <v>2.885318996442832E-2</v>
      </c>
      <c r="W103">
        <f t="shared" si="29"/>
        <v>2.931343596584074E-2</v>
      </c>
    </row>
    <row r="104" spans="1:23">
      <c r="A104">
        <v>101</v>
      </c>
      <c r="B104">
        <f t="shared" si="15"/>
        <v>73.416666666666671</v>
      </c>
      <c r="C104">
        <f t="shared" si="16"/>
        <v>0.74860384929182877</v>
      </c>
      <c r="D104" s="21">
        <v>3.8369928190174397E-5</v>
      </c>
      <c r="E104">
        <f t="shared" si="24"/>
        <v>0.11369203561987584</v>
      </c>
      <c r="F104">
        <f t="shared" si="17"/>
        <v>0.1206907991785046</v>
      </c>
      <c r="G104" s="22">
        <f t="shared" si="25"/>
        <v>3.836992819017437E-5</v>
      </c>
      <c r="H104" s="21">
        <v>5.5899252263501502E-2</v>
      </c>
      <c r="I104">
        <f t="shared" si="18"/>
        <v>3.1396528804307308E-2</v>
      </c>
      <c r="J104" s="22">
        <f t="shared" si="26"/>
        <v>5.5899252263501502E-2</v>
      </c>
      <c r="K104">
        <f t="shared" si="27"/>
        <v>3.0908775706053437E-2</v>
      </c>
      <c r="L104">
        <v>1.7860236457136747E-3</v>
      </c>
      <c r="M104">
        <f t="shared" si="19"/>
        <v>3.0908775706053437E-2</v>
      </c>
      <c r="N104">
        <f t="shared" si="20"/>
        <v>5.5899252263501502E-2</v>
      </c>
      <c r="O104">
        <v>3.836992819017437E-5</v>
      </c>
      <c r="P104">
        <f t="shared" si="21"/>
        <v>5.5860882335311328E-2</v>
      </c>
      <c r="Q104">
        <f t="shared" si="22"/>
        <v>0.94410074773649855</v>
      </c>
      <c r="R104">
        <f t="shared" si="23"/>
        <v>1</v>
      </c>
      <c r="S104">
        <v>9.2087827656418486E-2</v>
      </c>
      <c r="T104">
        <v>58.653926452076895</v>
      </c>
      <c r="U104">
        <f t="shared" si="28"/>
        <v>59.685350804563512</v>
      </c>
      <c r="V104">
        <v>2.7960369711643999E-2</v>
      </c>
      <c r="W104">
        <f t="shared" si="29"/>
        <v>2.8406779838036161E-2</v>
      </c>
    </row>
    <row r="105" spans="1:23">
      <c r="A105">
        <v>102</v>
      </c>
      <c r="B105">
        <f t="shared" si="15"/>
        <v>73.5</v>
      </c>
      <c r="C105">
        <f t="shared" si="16"/>
        <v>0.74646083583439082</v>
      </c>
      <c r="D105" s="21">
        <v>3.3999438221560701E-5</v>
      </c>
      <c r="E105">
        <f t="shared" si="24"/>
        <v>0.11390404347258776</v>
      </c>
      <c r="F105">
        <f t="shared" si="17"/>
        <v>0.12093003116306769</v>
      </c>
      <c r="G105" s="22">
        <f t="shared" si="25"/>
        <v>3.399943822156068E-5</v>
      </c>
      <c r="H105" s="21">
        <v>5.4169790022569102E-2</v>
      </c>
      <c r="I105">
        <f t="shared" si="18"/>
        <v>3.1427630353406358E-2</v>
      </c>
      <c r="J105" s="22">
        <f t="shared" si="26"/>
        <v>5.4169790022569102E-2</v>
      </c>
      <c r="K105">
        <f t="shared" si="27"/>
        <v>3.0938915475648088E-2</v>
      </c>
      <c r="L105">
        <v>1.7860236457136747E-3</v>
      </c>
      <c r="M105">
        <f t="shared" si="19"/>
        <v>3.0938915475648088E-2</v>
      </c>
      <c r="N105">
        <f t="shared" si="20"/>
        <v>5.4169790022569102E-2</v>
      </c>
      <c r="O105">
        <v>3.399943822156068E-5</v>
      </c>
      <c r="P105">
        <f t="shared" si="21"/>
        <v>5.4135790584347539E-2</v>
      </c>
      <c r="Q105">
        <f t="shared" si="22"/>
        <v>0.94583020997743095</v>
      </c>
      <c r="R105">
        <f t="shared" si="23"/>
        <v>1</v>
      </c>
      <c r="S105">
        <v>8.1598651731745631E-2</v>
      </c>
      <c r="T105">
        <v>56.842580113564914</v>
      </c>
      <c r="U105">
        <f t="shared" si="28"/>
        <v>57.835096522514988</v>
      </c>
      <c r="V105">
        <v>2.7094414853986587E-2</v>
      </c>
      <c r="W105">
        <f t="shared" si="29"/>
        <v>2.7527392282815293E-2</v>
      </c>
    </row>
    <row r="106" spans="1:23">
      <c r="A106">
        <v>103</v>
      </c>
      <c r="B106">
        <f t="shared" si="15"/>
        <v>73.583333333333329</v>
      </c>
      <c r="C106">
        <f t="shared" si="16"/>
        <v>0.7443239571392618</v>
      </c>
      <c r="D106" s="21">
        <v>3.0119614880178899E-5</v>
      </c>
      <c r="E106">
        <f t="shared" si="24"/>
        <v>0.11411433671634663</v>
      </c>
      <c r="F106">
        <f t="shared" si="17"/>
        <v>0.12116738491707398</v>
      </c>
      <c r="G106" s="22">
        <f t="shared" si="25"/>
        <v>3.0119614880178878E-5</v>
      </c>
      <c r="H106" s="21">
        <v>5.24922172662401E-2</v>
      </c>
      <c r="I106">
        <f t="shared" si="18"/>
        <v>3.1458457333659789E-2</v>
      </c>
      <c r="J106" s="22">
        <f t="shared" si="26"/>
        <v>5.24922172662401E-2</v>
      </c>
      <c r="K106">
        <f t="shared" si="27"/>
        <v>3.0968788242119127E-2</v>
      </c>
      <c r="L106">
        <v>1.7860236457136747E-3</v>
      </c>
      <c r="M106">
        <f t="shared" si="19"/>
        <v>3.0968788242119127E-2</v>
      </c>
      <c r="N106">
        <f t="shared" si="20"/>
        <v>5.24922172662401E-2</v>
      </c>
      <c r="O106">
        <v>3.0119614880178878E-5</v>
      </c>
      <c r="P106">
        <f t="shared" si="21"/>
        <v>5.2462097651359924E-2</v>
      </c>
      <c r="Q106">
        <f t="shared" si="22"/>
        <v>0.94750778273375991</v>
      </c>
      <c r="R106">
        <f t="shared" si="23"/>
        <v>1</v>
      </c>
      <c r="S106">
        <v>7.2287075712429302E-2</v>
      </c>
      <c r="T106">
        <v>55.085202533927919</v>
      </c>
      <c r="U106">
        <f t="shared" si="28"/>
        <v>56.040834187468505</v>
      </c>
      <c r="V106">
        <v>2.6254542125286502E-2</v>
      </c>
      <c r="W106">
        <f t="shared" si="29"/>
        <v>2.6674478489636545E-2</v>
      </c>
    </row>
    <row r="107" spans="1:23">
      <c r="A107">
        <v>104</v>
      </c>
      <c r="B107">
        <f t="shared" si="15"/>
        <v>73.666666666666671</v>
      </c>
      <c r="C107">
        <f t="shared" si="16"/>
        <v>0.74219319564457831</v>
      </c>
      <c r="D107" s="21">
        <v>2.66762517852763E-5</v>
      </c>
      <c r="E107">
        <f t="shared" si="24"/>
        <v>0.11432294564857148</v>
      </c>
      <c r="F107">
        <f t="shared" si="17"/>
        <v>0.1214028932974575</v>
      </c>
      <c r="G107" s="22">
        <f t="shared" si="25"/>
        <v>2.6676251785276283E-5</v>
      </c>
      <c r="H107" s="21">
        <v>5.0865042574145397E-2</v>
      </c>
      <c r="I107">
        <f t="shared" si="18"/>
        <v>3.1489014812636398E-2</v>
      </c>
      <c r="J107" s="22">
        <f t="shared" si="26"/>
        <v>5.0865042574145397E-2</v>
      </c>
      <c r="K107">
        <f t="shared" si="27"/>
        <v>3.0998398940583649E-2</v>
      </c>
      <c r="L107">
        <v>1.7860236457136747E-3</v>
      </c>
      <c r="M107">
        <f t="shared" si="19"/>
        <v>3.0998398940583649E-2</v>
      </c>
      <c r="N107">
        <f t="shared" si="20"/>
        <v>5.0865042574145397E-2</v>
      </c>
      <c r="O107">
        <v>2.6676251785276283E-5</v>
      </c>
      <c r="P107">
        <f t="shared" si="21"/>
        <v>5.0838366322360121E-2</v>
      </c>
      <c r="Q107">
        <f t="shared" si="22"/>
        <v>0.94913495742585463</v>
      </c>
      <c r="R107">
        <f t="shared" si="23"/>
        <v>1</v>
      </c>
      <c r="S107">
        <v>6.4023004284663079E-2</v>
      </c>
      <c r="T107">
        <v>53.380284638478123</v>
      </c>
      <c r="U107">
        <f t="shared" si="28"/>
        <v>54.300898626201572</v>
      </c>
      <c r="V107">
        <v>2.5439990637572577E-2</v>
      </c>
      <c r="W107">
        <f t="shared" si="29"/>
        <v>2.5847266381429541E-2</v>
      </c>
    </row>
    <row r="108" spans="1:23">
      <c r="A108">
        <v>105</v>
      </c>
      <c r="B108">
        <f t="shared" si="15"/>
        <v>73.75</v>
      </c>
      <c r="C108">
        <f t="shared" si="16"/>
        <v>0.74006853383875171</v>
      </c>
      <c r="D108" s="21">
        <v>2.3621023342723499E-5</v>
      </c>
      <c r="E108">
        <f t="shared" si="24"/>
        <v>0.11452989974547723</v>
      </c>
      <c r="F108">
        <f t="shared" si="17"/>
        <v>0.1216365882756635</v>
      </c>
      <c r="G108" s="22">
        <f t="shared" si="25"/>
        <v>2.3621023342723482E-5</v>
      </c>
      <c r="H108" s="21">
        <v>4.9286814628949703E-2</v>
      </c>
      <c r="I108">
        <f t="shared" si="18"/>
        <v>3.1519307716515559E-2</v>
      </c>
      <c r="J108" s="22">
        <f t="shared" si="26"/>
        <v>4.9286814628949703E-2</v>
      </c>
      <c r="K108">
        <f t="shared" si="27"/>
        <v>3.1027752368340766E-2</v>
      </c>
      <c r="L108">
        <v>1.7860236457136747E-3</v>
      </c>
      <c r="M108">
        <f t="shared" si="19"/>
        <v>3.1027752368340766E-2</v>
      </c>
      <c r="N108">
        <f t="shared" si="20"/>
        <v>4.9286814628949703E-2</v>
      </c>
      <c r="O108">
        <v>2.3621023342723482E-5</v>
      </c>
      <c r="P108">
        <f t="shared" si="21"/>
        <v>4.9263193605606978E-2</v>
      </c>
      <c r="Q108">
        <f t="shared" si="22"/>
        <v>0.95071318537105032</v>
      </c>
      <c r="R108">
        <f t="shared" si="23"/>
        <v>1</v>
      </c>
      <c r="S108">
        <v>5.6690456022536355E-2</v>
      </c>
      <c r="T108">
        <v>51.726353285887328</v>
      </c>
      <c r="U108">
        <f t="shared" si="28"/>
        <v>52.613675692336329</v>
      </c>
      <c r="V108">
        <v>2.4650021201010813E-2</v>
      </c>
      <c r="W108">
        <f t="shared" si="29"/>
        <v>2.5045005919291694E-2</v>
      </c>
    </row>
    <row r="109" spans="1:23">
      <c r="A109">
        <v>106</v>
      </c>
      <c r="B109">
        <f t="shared" si="15"/>
        <v>73.833333333333329</v>
      </c>
      <c r="C109">
        <f t="shared" si="16"/>
        <v>0.73794995426032328</v>
      </c>
      <c r="D109" s="21">
        <v>2.09108598511801E-5</v>
      </c>
      <c r="E109">
        <f t="shared" si="24"/>
        <v>0.11473522769191413</v>
      </c>
      <c r="F109">
        <f t="shared" si="17"/>
        <v>0.12186850096969659</v>
      </c>
      <c r="G109" s="22">
        <f t="shared" si="25"/>
        <v>2.0910859851180086E-5</v>
      </c>
      <c r="H109" s="21">
        <v>4.7756121262815102E-2</v>
      </c>
      <c r="I109">
        <f t="shared" si="18"/>
        <v>3.1549340835356959E-2</v>
      </c>
      <c r="J109" s="22">
        <f t="shared" si="26"/>
        <v>4.7756121262815102E-2</v>
      </c>
      <c r="K109">
        <f t="shared" si="27"/>
        <v>3.1056853190011502E-2</v>
      </c>
      <c r="L109">
        <v>1.7860236457136747E-3</v>
      </c>
      <c r="M109">
        <f t="shared" si="19"/>
        <v>3.1056853190011502E-2</v>
      </c>
      <c r="N109">
        <f t="shared" si="20"/>
        <v>4.7756121262815102E-2</v>
      </c>
      <c r="O109">
        <v>2.0910859851180086E-5</v>
      </c>
      <c r="P109">
        <f t="shared" si="21"/>
        <v>4.7735210402963919E-2</v>
      </c>
      <c r="Q109">
        <f t="shared" si="22"/>
        <v>0.95224387873718486</v>
      </c>
      <c r="R109">
        <f t="shared" si="23"/>
        <v>1</v>
      </c>
      <c r="S109">
        <v>5.0186063642832207E-2</v>
      </c>
      <c r="T109">
        <v>50.121970923112116</v>
      </c>
      <c r="U109">
        <f t="shared" si="28"/>
        <v>50.977600364332403</v>
      </c>
      <c r="V109">
        <v>2.3883915672165881E-2</v>
      </c>
      <c r="W109">
        <f t="shared" si="29"/>
        <v>2.4266968436588349E-2</v>
      </c>
    </row>
    <row r="110" spans="1:23">
      <c r="A110">
        <v>107</v>
      </c>
      <c r="B110">
        <f t="shared" si="15"/>
        <v>73.916666666666671</v>
      </c>
      <c r="C110">
        <f t="shared" si="16"/>
        <v>0.73583743949782032</v>
      </c>
      <c r="D110" s="21">
        <v>1.8507387421342099E-5</v>
      </c>
      <c r="E110">
        <f t="shared" si="24"/>
        <v>0.11493895740984372</v>
      </c>
      <c r="F110">
        <f t="shared" si="17"/>
        <v>0.12209866167470859</v>
      </c>
      <c r="G110" s="22">
        <f t="shared" si="25"/>
        <v>1.8507387421342089E-5</v>
      </c>
      <c r="H110" s="21">
        <v>4.62715885202893E-2</v>
      </c>
      <c r="I110">
        <f t="shared" si="18"/>
        <v>3.1579118828091779E-2</v>
      </c>
      <c r="J110" s="22">
        <f t="shared" si="26"/>
        <v>4.62715885202893E-2</v>
      </c>
      <c r="K110">
        <f t="shared" si="27"/>
        <v>3.1085705942407005E-2</v>
      </c>
      <c r="L110">
        <v>1.7860236457136747E-3</v>
      </c>
      <c r="M110">
        <f t="shared" si="19"/>
        <v>3.1085705942407005E-2</v>
      </c>
      <c r="N110">
        <f t="shared" si="20"/>
        <v>4.62715885202893E-2</v>
      </c>
      <c r="O110">
        <v>1.8507387421342089E-5</v>
      </c>
      <c r="P110">
        <f t="shared" si="21"/>
        <v>4.6253081132867961E-2</v>
      </c>
      <c r="Q110">
        <f t="shared" si="22"/>
        <v>0.95372841147971066</v>
      </c>
      <c r="R110">
        <f t="shared" si="23"/>
        <v>1</v>
      </c>
      <c r="S110">
        <v>4.441772981122101E-2</v>
      </c>
      <c r="T110">
        <v>48.565735189511358</v>
      </c>
      <c r="U110">
        <f t="shared" si="28"/>
        <v>49.391154953038765</v>
      </c>
      <c r="V110">
        <v>2.3140976328622626E-2</v>
      </c>
      <c r="W110">
        <f t="shared" si="29"/>
        <v>2.3512446000394253E-2</v>
      </c>
    </row>
    <row r="111" spans="1:23">
      <c r="A111">
        <v>108</v>
      </c>
      <c r="B111">
        <f t="shared" si="15"/>
        <v>74</v>
      </c>
      <c r="C111">
        <f t="shared" si="16"/>
        <v>0.73373097218961414</v>
      </c>
      <c r="D111" s="21">
        <v>1.6376426177819401E-5</v>
      </c>
      <c r="E111">
        <f t="shared" si="24"/>
        <v>0.11514111608564181</v>
      </c>
      <c r="F111">
        <f t="shared" si="17"/>
        <v>0.12232709989233628</v>
      </c>
      <c r="G111" s="22">
        <f t="shared" si="25"/>
        <v>1.6376426177819391E-5</v>
      </c>
      <c r="H111" s="21">
        <v>4.4831879737704798E-2</v>
      </c>
      <c r="I111">
        <f t="shared" si="18"/>
        <v>3.1608646227312187E-2</v>
      </c>
      <c r="J111" s="22">
        <f t="shared" si="26"/>
        <v>4.4831879737704798E-2</v>
      </c>
      <c r="K111">
        <f t="shared" si="27"/>
        <v>3.1114315039199814E-2</v>
      </c>
      <c r="L111">
        <v>1.9579049940989801E-3</v>
      </c>
      <c r="M111">
        <f t="shared" si="19"/>
        <v>3.1114315039199814E-2</v>
      </c>
      <c r="N111">
        <f t="shared" si="20"/>
        <v>4.4831879737704798E-2</v>
      </c>
      <c r="O111">
        <v>1.6376426177819391E-5</v>
      </c>
      <c r="P111">
        <f t="shared" si="21"/>
        <v>4.4815503311526977E-2</v>
      </c>
      <c r="Q111">
        <f t="shared" si="22"/>
        <v>0.95516812026229525</v>
      </c>
      <c r="R111">
        <f t="shared" si="23"/>
        <v>1</v>
      </c>
      <c r="S111">
        <v>3.9303422826766535E-2</v>
      </c>
      <c r="T111">
        <v>47.056278477103326</v>
      </c>
      <c r="U111">
        <f t="shared" si="28"/>
        <v>47.852867409626342</v>
      </c>
      <c r="V111">
        <v>2.2420525268182188E-2</v>
      </c>
      <c r="W111">
        <f t="shared" si="29"/>
        <v>2.2780750798402409E-2</v>
      </c>
    </row>
    <row r="112" spans="1:23">
      <c r="A112">
        <v>109</v>
      </c>
      <c r="B112">
        <f t="shared" si="15"/>
        <v>74.083333333333329</v>
      </c>
      <c r="C112">
        <f t="shared" si="16"/>
        <v>0.7316305350237774</v>
      </c>
      <c r="D112" s="21">
        <v>1.44875408480416E-5</v>
      </c>
      <c r="E112">
        <f t="shared" si="24"/>
        <v>0.11534173019606375</v>
      </c>
      <c r="F112">
        <f t="shared" si="17"/>
        <v>0.12255384435859917</v>
      </c>
      <c r="G112" s="22">
        <f t="shared" si="25"/>
        <v>1.4487540848041592E-5</v>
      </c>
      <c r="H112" s="21">
        <v>4.3435694639145199E-2</v>
      </c>
      <c r="I112">
        <f t="shared" si="18"/>
        <v>3.1637927443852146E-2</v>
      </c>
      <c r="J112" s="22">
        <f t="shared" si="26"/>
        <v>4.3435694639145199E-2</v>
      </c>
      <c r="K112">
        <f t="shared" si="27"/>
        <v>3.1142684775391394E-2</v>
      </c>
      <c r="L112">
        <v>1.9579049940989801E-3</v>
      </c>
      <c r="M112">
        <f t="shared" si="19"/>
        <v>3.1142684775391394E-2</v>
      </c>
      <c r="N112">
        <f t="shared" si="20"/>
        <v>4.3435694639145199E-2</v>
      </c>
      <c r="O112">
        <v>1.4487540848041592E-5</v>
      </c>
      <c r="P112">
        <f t="shared" si="21"/>
        <v>4.3421207098297158E-2</v>
      </c>
      <c r="Q112">
        <f t="shared" si="22"/>
        <v>0.95656430536085479</v>
      </c>
      <c r="R112">
        <f t="shared" si="23"/>
        <v>1</v>
      </c>
      <c r="S112">
        <v>3.4770098035299818E-2</v>
      </c>
      <c r="T112">
        <v>45.592267453212017</v>
      </c>
      <c r="U112">
        <f t="shared" si="28"/>
        <v>46.361309725588711</v>
      </c>
      <c r="V112">
        <v>2.1721903831010053E-2</v>
      </c>
      <c r="W112">
        <f t="shared" si="29"/>
        <v>2.2071214549596121E-2</v>
      </c>
    </row>
    <row r="113" spans="1:23">
      <c r="A113">
        <v>110</v>
      </c>
      <c r="B113">
        <f t="shared" si="15"/>
        <v>74.166666666666671</v>
      </c>
      <c r="C113">
        <f t="shared" si="16"/>
        <v>0.72953611073793945</v>
      </c>
      <c r="D113" s="21">
        <v>1.2813638418514699E-5</v>
      </c>
      <c r="E113">
        <f t="shared" si="24"/>
        <v>0.11554082553307699</v>
      </c>
      <c r="F113">
        <f t="shared" si="17"/>
        <v>0.12277892307058465</v>
      </c>
      <c r="G113" s="22">
        <f t="shared" si="25"/>
        <v>1.2813638418514693E-5</v>
      </c>
      <c r="H113" s="21">
        <v>4.2081768449008697E-2</v>
      </c>
      <c r="I113">
        <f t="shared" si="18"/>
        <v>3.1666966771116759E-2</v>
      </c>
      <c r="J113" s="22">
        <f t="shared" si="26"/>
        <v>4.2081768449008697E-2</v>
      </c>
      <c r="K113">
        <f t="shared" si="27"/>
        <v>3.1170819331534649E-2</v>
      </c>
      <c r="L113">
        <v>1.9579049940989801E-3</v>
      </c>
      <c r="M113">
        <f t="shared" si="19"/>
        <v>3.1170819331534649E-2</v>
      </c>
      <c r="N113">
        <f t="shared" si="20"/>
        <v>4.2081768449008697E-2</v>
      </c>
      <c r="O113">
        <v>1.2813638418514693E-5</v>
      </c>
      <c r="P113">
        <f t="shared" si="21"/>
        <v>4.2068954810590184E-2</v>
      </c>
      <c r="Q113">
        <f t="shared" si="22"/>
        <v>0.95791823155099132</v>
      </c>
      <c r="R113">
        <f t="shared" si="23"/>
        <v>1</v>
      </c>
      <c r="S113">
        <v>3.0752732204435262E-2</v>
      </c>
      <c r="T113">
        <v>44.172402551119696</v>
      </c>
      <c r="U113">
        <f t="shared" si="28"/>
        <v>44.915096417285724</v>
      </c>
      <c r="V113">
        <v>2.1044472043261535E-2</v>
      </c>
      <c r="W113">
        <f t="shared" si="29"/>
        <v>2.1383187937135794E-2</v>
      </c>
    </row>
    <row r="114" spans="1:23">
      <c r="A114">
        <v>111</v>
      </c>
      <c r="B114">
        <f t="shared" si="15"/>
        <v>74.25</v>
      </c>
      <c r="C114">
        <f t="shared" si="16"/>
        <v>0.72744768211914834</v>
      </c>
      <c r="D114" s="21">
        <v>1.1330608060891399E-5</v>
      </c>
      <c r="E114">
        <f t="shared" si="24"/>
        <v>0.11573842722769812</v>
      </c>
      <c r="F114">
        <f t="shared" si="17"/>
        <v>0.12300236331207182</v>
      </c>
      <c r="G114" s="22">
        <f t="shared" si="25"/>
        <v>1.1330608060891392E-5</v>
      </c>
      <c r="H114" s="21">
        <v>4.0768871021167503E-2</v>
      </c>
      <c r="I114">
        <f t="shared" si="18"/>
        <v>3.1695768389276104E-2</v>
      </c>
      <c r="J114" s="22">
        <f t="shared" si="26"/>
        <v>4.0768871021167503E-2</v>
      </c>
      <c r="K114">
        <f t="shared" si="27"/>
        <v>3.1198722777823762E-2</v>
      </c>
      <c r="L114">
        <v>1.9579049940989801E-3</v>
      </c>
      <c r="M114">
        <f t="shared" si="19"/>
        <v>3.1198722777823762E-2</v>
      </c>
      <c r="N114">
        <f t="shared" si="20"/>
        <v>4.0768871021167503E-2</v>
      </c>
      <c r="O114">
        <v>1.1330608060891392E-5</v>
      </c>
      <c r="P114">
        <f t="shared" si="21"/>
        <v>4.0757540413106613E-2</v>
      </c>
      <c r="Q114">
        <f t="shared" si="22"/>
        <v>0.95923112897883245</v>
      </c>
      <c r="R114">
        <f t="shared" si="23"/>
        <v>1</v>
      </c>
      <c r="S114">
        <v>2.7193459346139343E-2</v>
      </c>
      <c r="T114">
        <v>42.795417433761941</v>
      </c>
      <c r="U114">
        <f t="shared" si="28"/>
        <v>43.5128830882161</v>
      </c>
      <c r="V114">
        <v>2.0387608080840801E-2</v>
      </c>
      <c r="W114">
        <f t="shared" si="29"/>
        <v>2.0716040062051168E-2</v>
      </c>
    </row>
    <row r="115" spans="1:23">
      <c r="A115">
        <v>112</v>
      </c>
      <c r="B115">
        <f t="shared" si="15"/>
        <v>74.333333333333329</v>
      </c>
      <c r="C115">
        <f t="shared" si="16"/>
        <v>0.72536523200372627</v>
      </c>
      <c r="D115" s="21">
        <v>1.0016999003394999E-5</v>
      </c>
      <c r="E115">
        <f t="shared" si="24"/>
        <v>0.11593455977269551</v>
      </c>
      <c r="F115">
        <f t="shared" si="17"/>
        <v>0.12322419167793382</v>
      </c>
      <c r="G115" s="22">
        <f t="shared" si="25"/>
        <v>1.0016999003394994E-5</v>
      </c>
      <c r="H115" s="21">
        <v>3.94958059847028E-2</v>
      </c>
      <c r="I115">
        <f t="shared" si="18"/>
        <v>3.1724336369225302E-2</v>
      </c>
      <c r="J115" s="22">
        <f t="shared" si="26"/>
        <v>3.94958059847028E-2</v>
      </c>
      <c r="K115">
        <f t="shared" si="27"/>
        <v>3.1226399077956324E-2</v>
      </c>
      <c r="L115">
        <v>1.9579049940989801E-3</v>
      </c>
      <c r="M115">
        <f t="shared" si="19"/>
        <v>3.1226399077956324E-2</v>
      </c>
      <c r="N115">
        <f t="shared" si="20"/>
        <v>3.94958059847028E-2</v>
      </c>
      <c r="O115">
        <v>1.0016999003394994E-5</v>
      </c>
      <c r="P115">
        <f t="shared" si="21"/>
        <v>3.9485788985699405E-2</v>
      </c>
      <c r="Q115">
        <f t="shared" si="22"/>
        <v>0.96050419401529719</v>
      </c>
      <c r="R115">
        <f t="shared" si="23"/>
        <v>1</v>
      </c>
      <c r="S115">
        <v>2.4040797608147986E-2</v>
      </c>
      <c r="T115">
        <v>41.460078434984375</v>
      </c>
      <c r="U115">
        <f t="shared" si="28"/>
        <v>42.153365062850298</v>
      </c>
      <c r="V115">
        <v>1.9750707752072352E-2</v>
      </c>
      <c r="W115">
        <f t="shared" si="29"/>
        <v>2.0069157916456574E-2</v>
      </c>
    </row>
    <row r="116" spans="1:23">
      <c r="A116">
        <v>113</v>
      </c>
      <c r="B116">
        <f t="shared" si="15"/>
        <v>74.416666666666671</v>
      </c>
      <c r="C116">
        <f t="shared" si="16"/>
        <v>0.72328874327712922</v>
      </c>
      <c r="D116" s="21">
        <v>8.8537324514867302E-6</v>
      </c>
      <c r="E116">
        <f t="shared" si="24"/>
        <v>0.11612924704435035</v>
      </c>
      <c r="F116">
        <f t="shared" si="17"/>
        <v>0.12344443409753302</v>
      </c>
      <c r="G116" s="22">
        <f t="shared" si="25"/>
        <v>8.8537324514867252E-6</v>
      </c>
      <c r="H116" s="21">
        <v>3.8261409906168803E-2</v>
      </c>
      <c r="I116">
        <f t="shared" si="18"/>
        <v>3.175267467640077E-2</v>
      </c>
      <c r="J116" s="22">
        <f t="shared" si="26"/>
        <v>3.8261409906168803E-2</v>
      </c>
      <c r="K116">
        <f t="shared" si="27"/>
        <v>3.1253852092854917E-2</v>
      </c>
      <c r="L116">
        <v>1.9579049940989801E-3</v>
      </c>
      <c r="M116">
        <f t="shared" si="19"/>
        <v>3.1253852092854917E-2</v>
      </c>
      <c r="N116">
        <f t="shared" si="20"/>
        <v>3.8261409906168803E-2</v>
      </c>
      <c r="O116">
        <v>8.8537324514867252E-6</v>
      </c>
      <c r="P116">
        <f t="shared" si="21"/>
        <v>3.8252556173717318E-2</v>
      </c>
      <c r="Q116">
        <f t="shared" si="22"/>
        <v>0.96173859009383122</v>
      </c>
      <c r="R116">
        <f t="shared" si="23"/>
        <v>1</v>
      </c>
      <c r="S116">
        <v>2.1248957883568141E-2</v>
      </c>
      <c r="T116">
        <v>40.165183982403185</v>
      </c>
      <c r="U116">
        <f t="shared" si="28"/>
        <v>40.835276086439642</v>
      </c>
      <c r="V116">
        <v>1.9133183998170818E-2</v>
      </c>
      <c r="W116">
        <f t="shared" si="29"/>
        <v>1.9441945875121585E-2</v>
      </c>
    </row>
    <row r="117" spans="1:23">
      <c r="A117">
        <v>114</v>
      </c>
      <c r="B117">
        <f t="shared" si="15"/>
        <v>74.5</v>
      </c>
      <c r="C117">
        <f t="shared" si="16"/>
        <v>0.72121819887380778</v>
      </c>
      <c r="D117" s="21">
        <v>7.8238440492914593E-6</v>
      </c>
      <c r="E117">
        <f t="shared" si="24"/>
        <v>0.11632251232330049</v>
      </c>
      <c r="F117">
        <f t="shared" si="17"/>
        <v>0.12366311585713374</v>
      </c>
      <c r="G117" s="22">
        <f t="shared" si="25"/>
        <v>7.823844049291456E-6</v>
      </c>
      <c r="H117" s="21">
        <v>3.7064551468321001E-2</v>
      </c>
      <c r="I117">
        <f t="shared" si="18"/>
        <v>3.1780787174423938E-2</v>
      </c>
      <c r="J117" s="22">
        <f t="shared" si="26"/>
        <v>3.7064551468321001E-2</v>
      </c>
      <c r="K117">
        <f t="shared" si="27"/>
        <v>3.1281085584220381E-2</v>
      </c>
      <c r="L117">
        <v>1.9579049940989801E-3</v>
      </c>
      <c r="M117">
        <f t="shared" si="19"/>
        <v>3.1281085584220381E-2</v>
      </c>
      <c r="N117">
        <f t="shared" si="20"/>
        <v>3.7064551468321001E-2</v>
      </c>
      <c r="O117">
        <v>7.823844049291456E-6</v>
      </c>
      <c r="P117">
        <f t="shared" si="21"/>
        <v>3.7056727624271708E-2</v>
      </c>
      <c r="Q117">
        <f t="shared" si="22"/>
        <v>0.96293544853167901</v>
      </c>
      <c r="R117">
        <f t="shared" si="23"/>
        <v>1</v>
      </c>
      <c r="S117">
        <v>1.8777225718299494E-2</v>
      </c>
      <c r="T117">
        <v>38.909564005485294</v>
      </c>
      <c r="U117">
        <f t="shared" si="28"/>
        <v>39.557387085745177</v>
      </c>
      <c r="V117">
        <v>1.8534466410494301E-2</v>
      </c>
      <c r="W117">
        <f t="shared" si="29"/>
        <v>1.883382520433256E-2</v>
      </c>
    </row>
    <row r="118" spans="1:23">
      <c r="A118">
        <v>115</v>
      </c>
      <c r="B118">
        <f t="shared" si="15"/>
        <v>74.583333333333329</v>
      </c>
      <c r="C118">
        <f t="shared" si="16"/>
        <v>0.71915358177706457</v>
      </c>
      <c r="D118" s="21">
        <v>6.9122537238587201E-6</v>
      </c>
      <c r="E118">
        <f t="shared" si="24"/>
        <v>0.11651437831449296</v>
      </c>
      <c r="F118">
        <f t="shared" si="17"/>
        <v>0.12388026162135879</v>
      </c>
      <c r="G118" s="22">
        <f t="shared" si="25"/>
        <v>6.9122537238587167E-6</v>
      </c>
      <c r="H118" s="21">
        <v>3.5904130665224701E-2</v>
      </c>
      <c r="I118">
        <f t="shared" si="18"/>
        <v>3.1808677628581146E-2</v>
      </c>
      <c r="J118" s="22">
        <f t="shared" si="26"/>
        <v>3.5904130665224701E-2</v>
      </c>
      <c r="K118">
        <f t="shared" si="27"/>
        <v>3.130810321792532E-2</v>
      </c>
      <c r="L118">
        <v>1.9579049940989801E-3</v>
      </c>
      <c r="M118">
        <f t="shared" si="19"/>
        <v>3.130810321792532E-2</v>
      </c>
      <c r="N118">
        <f t="shared" si="20"/>
        <v>3.5904130665224701E-2</v>
      </c>
      <c r="O118">
        <v>6.9122537238587167E-6</v>
      </c>
      <c r="P118">
        <f t="shared" si="21"/>
        <v>3.5897218411500842E-2</v>
      </c>
      <c r="Q118">
        <f t="shared" si="22"/>
        <v>0.96409586933477531</v>
      </c>
      <c r="R118">
        <f t="shared" si="23"/>
        <v>1</v>
      </c>
      <c r="S118">
        <v>1.6589408937260922E-2</v>
      </c>
      <c r="T118">
        <v>37.692079332075885</v>
      </c>
      <c r="U118">
        <f t="shared" si="28"/>
        <v>38.318504986108373</v>
      </c>
      <c r="V118">
        <v>1.7954000763655029E-2</v>
      </c>
      <c r="W118">
        <f t="shared" si="29"/>
        <v>1.8244233587074665E-2</v>
      </c>
    </row>
    <row r="119" spans="1:23">
      <c r="A119">
        <v>116</v>
      </c>
      <c r="B119">
        <f t="shared" si="15"/>
        <v>74.666666666666671</v>
      </c>
      <c r="C119">
        <f t="shared" si="16"/>
        <v>0.71709487501891633</v>
      </c>
      <c r="D119" s="21">
        <v>6.1055600711961103E-6</v>
      </c>
      <c r="E119">
        <f t="shared" si="24"/>
        <v>0.11670486716628781</v>
      </c>
      <c r="F119">
        <f t="shared" si="17"/>
        <v>0.12409589545373523</v>
      </c>
      <c r="G119" s="22">
        <f t="shared" si="25"/>
        <v>6.1055600711961069E-6</v>
      </c>
      <c r="H119" s="21">
        <v>3.47790780136428E-2</v>
      </c>
      <c r="I119">
        <f t="shared" si="18"/>
        <v>3.1836349709155935E-2</v>
      </c>
      <c r="J119" s="22">
        <f t="shared" si="26"/>
        <v>3.47790780136428E-2</v>
      </c>
      <c r="K119">
        <f t="shared" si="27"/>
        <v>3.133490856726362E-2</v>
      </c>
      <c r="L119">
        <v>1.9579049940989801E-3</v>
      </c>
      <c r="M119">
        <f t="shared" si="19"/>
        <v>3.133490856726362E-2</v>
      </c>
      <c r="N119">
        <f t="shared" si="20"/>
        <v>3.47790780136428E-2</v>
      </c>
      <c r="O119">
        <v>6.1055600711961069E-6</v>
      </c>
      <c r="P119">
        <f t="shared" si="21"/>
        <v>3.4772972453571603E-2</v>
      </c>
      <c r="Q119">
        <f t="shared" si="22"/>
        <v>0.96522092198635723</v>
      </c>
      <c r="R119">
        <f t="shared" si="23"/>
        <v>1</v>
      </c>
      <c r="S119">
        <v>1.4653344170870657E-2</v>
      </c>
      <c r="T119">
        <v>36.511621076250186</v>
      </c>
      <c r="U119">
        <f t="shared" si="28"/>
        <v>37.117471580717108</v>
      </c>
      <c r="V119">
        <v>1.7391248563641333E-2</v>
      </c>
      <c r="W119">
        <f t="shared" si="29"/>
        <v>1.7672624663648183E-2</v>
      </c>
    </row>
    <row r="120" spans="1:23">
      <c r="A120">
        <v>117</v>
      </c>
      <c r="B120">
        <f t="shared" si="15"/>
        <v>74.75</v>
      </c>
      <c r="C120">
        <f t="shared" si="16"/>
        <v>0.71504206167995354</v>
      </c>
      <c r="D120" s="21">
        <v>5.39185672924932E-6</v>
      </c>
      <c r="E120">
        <f t="shared" si="24"/>
        <v>0.11689400048879905</v>
      </c>
      <c r="F120">
        <f t="shared" si="17"/>
        <v>0.12431004083642409</v>
      </c>
      <c r="G120" s="22">
        <f t="shared" si="25"/>
        <v>5.3918567292493174E-6</v>
      </c>
      <c r="H120" s="21">
        <v>3.3688353780585399E-2</v>
      </c>
      <c r="I120">
        <f t="shared" si="18"/>
        <v>3.186380699463854E-2</v>
      </c>
      <c r="J120" s="22">
        <f t="shared" si="26"/>
        <v>3.3688353780585399E-2</v>
      </c>
      <c r="K120">
        <f t="shared" si="27"/>
        <v>3.1361505116079935E-2</v>
      </c>
      <c r="L120">
        <v>1.9579049940989801E-3</v>
      </c>
      <c r="M120">
        <f t="shared" si="19"/>
        <v>3.1361505116079935E-2</v>
      </c>
      <c r="N120">
        <f t="shared" si="20"/>
        <v>3.3688353780585399E-2</v>
      </c>
      <c r="O120">
        <v>5.3918567292493174E-6</v>
      </c>
      <c r="P120">
        <f t="shared" si="21"/>
        <v>3.3682961923856149E-2</v>
      </c>
      <c r="Q120">
        <f t="shared" si="22"/>
        <v>0.96631164621941457</v>
      </c>
      <c r="R120">
        <f t="shared" si="23"/>
        <v>1</v>
      </c>
      <c r="S120">
        <v>1.2940456150198362E-2</v>
      </c>
      <c r="T120">
        <v>35.367110020048955</v>
      </c>
      <c r="U120">
        <f t="shared" si="28"/>
        <v>35.95316244831011</v>
      </c>
      <c r="V120">
        <v>1.684568661017689E-2</v>
      </c>
      <c r="W120">
        <f t="shared" si="29"/>
        <v>1.711846758690911E-2</v>
      </c>
    </row>
    <row r="121" spans="1:23">
      <c r="A121">
        <v>118</v>
      </c>
      <c r="B121">
        <f t="shared" si="15"/>
        <v>74.833333333333329</v>
      </c>
      <c r="C121">
        <f t="shared" si="16"/>
        <v>0.71299512488920125</v>
      </c>
      <c r="D121" s="21">
        <v>4.7605684414357501E-6</v>
      </c>
      <c r="E121">
        <f t="shared" si="24"/>
        <v>0.11708179937144969</v>
      </c>
      <c r="F121">
        <f t="shared" si="17"/>
        <v>0.12452272068910523</v>
      </c>
      <c r="G121" s="22">
        <f t="shared" si="25"/>
        <v>4.7605684414357476E-6</v>
      </c>
      <c r="H121" s="21">
        <v>3.2630947226891298E-2</v>
      </c>
      <c r="I121">
        <f t="shared" si="18"/>
        <v>3.1891052974780829E-2</v>
      </c>
      <c r="J121" s="22">
        <f t="shared" si="26"/>
        <v>3.2630947226891298E-2</v>
      </c>
      <c r="K121">
        <f t="shared" si="27"/>
        <v>3.1387896261748649E-2</v>
      </c>
      <c r="L121">
        <v>1.9579049940989801E-3</v>
      </c>
      <c r="M121">
        <f t="shared" si="19"/>
        <v>3.1387896261748649E-2</v>
      </c>
      <c r="N121">
        <f t="shared" si="20"/>
        <v>3.2630947226891298E-2</v>
      </c>
      <c r="O121">
        <v>4.7605684414357476E-6</v>
      </c>
      <c r="P121">
        <f t="shared" si="21"/>
        <v>3.2626186658449866E-2</v>
      </c>
      <c r="Q121">
        <f t="shared" si="22"/>
        <v>0.9673690527731087</v>
      </c>
      <c r="R121">
        <f t="shared" si="23"/>
        <v>1</v>
      </c>
      <c r="S121">
        <v>1.1425364259445795E-2</v>
      </c>
      <c r="T121">
        <v>34.257495991372359</v>
      </c>
      <c r="U121">
        <f t="shared" si="28"/>
        <v>34.824485915915474</v>
      </c>
      <c r="V121">
        <v>1.6316806572609251E-2</v>
      </c>
      <c r="W121">
        <f t="shared" si="29"/>
        <v>1.6581246591393071E-2</v>
      </c>
    </row>
    <row r="122" spans="1:23">
      <c r="A122">
        <v>119</v>
      </c>
      <c r="B122">
        <f t="shared" si="15"/>
        <v>74.916666666666671</v>
      </c>
      <c r="C122">
        <f t="shared" si="16"/>
        <v>0.71095404782398086</v>
      </c>
      <c r="D122" s="21">
        <v>4.2023047475405798E-6</v>
      </c>
      <c r="E122">
        <f t="shared" si="24"/>
        <v>0.11726828439983572</v>
      </c>
      <c r="F122">
        <f t="shared" si="17"/>
        <v>0.12473395738712267</v>
      </c>
      <c r="G122" s="22">
        <f t="shared" si="25"/>
        <v>4.2023047475405781E-6</v>
      </c>
      <c r="H122" s="21">
        <v>3.16058758666979E-2</v>
      </c>
      <c r="I122">
        <f t="shared" si="18"/>
        <v>3.1918091053515923E-2</v>
      </c>
      <c r="J122" s="22">
        <f t="shared" si="26"/>
        <v>3.16058758666979E-2</v>
      </c>
      <c r="K122">
        <f t="shared" si="27"/>
        <v>3.1414085318020812E-2</v>
      </c>
      <c r="L122">
        <v>1.9579049940989801E-3</v>
      </c>
      <c r="M122">
        <f t="shared" si="19"/>
        <v>3.1414085318020812E-2</v>
      </c>
      <c r="N122">
        <f t="shared" si="20"/>
        <v>3.16058758666979E-2</v>
      </c>
      <c r="O122">
        <v>4.2023047475405781E-6</v>
      </c>
      <c r="P122">
        <f t="shared" si="21"/>
        <v>3.1601673561950358E-2</v>
      </c>
      <c r="Q122">
        <f t="shared" si="22"/>
        <v>0.96839412413330206</v>
      </c>
      <c r="R122">
        <f t="shared" si="23"/>
        <v>1</v>
      </c>
      <c r="S122">
        <v>1.0085531394097387E-2</v>
      </c>
      <c r="T122">
        <v>33.181757240047872</v>
      </c>
      <c r="U122">
        <f t="shared" si="28"/>
        <v>33.730382063536887</v>
      </c>
      <c r="V122">
        <v>1.5804114578678259E-2</v>
      </c>
      <c r="W122">
        <f t="shared" si="29"/>
        <v>1.6060460575643754E-2</v>
      </c>
    </row>
    <row r="123" spans="1:23">
      <c r="A123">
        <v>120</v>
      </c>
      <c r="B123">
        <f t="shared" si="15"/>
        <v>75</v>
      </c>
      <c r="C123">
        <f t="shared" si="16"/>
        <v>0.70891881370977239</v>
      </c>
      <c r="D123" s="21">
        <v>3.70872944910953E-6</v>
      </c>
      <c r="E123">
        <f t="shared" si="24"/>
        <v>0.11745347567187203</v>
      </c>
      <c r="F123">
        <f t="shared" si="17"/>
        <v>0.12494377277885742</v>
      </c>
      <c r="G123" s="22">
        <f t="shared" si="25"/>
        <v>3.7087294491095283E-6</v>
      </c>
      <c r="H123" s="21">
        <v>3.0612184742642899E-2</v>
      </c>
      <c r="I123">
        <f t="shared" si="18"/>
        <v>3.1944924551798926E-2</v>
      </c>
      <c r="J123" s="22">
        <f t="shared" si="26"/>
        <v>3.0612184742642899E-2</v>
      </c>
      <c r="K123">
        <f t="shared" si="27"/>
        <v>3.144007551779382E-2</v>
      </c>
      <c r="L123">
        <v>2.1612991493864531E-3</v>
      </c>
      <c r="M123">
        <f t="shared" si="19"/>
        <v>3.144007551779382E-2</v>
      </c>
      <c r="N123">
        <f t="shared" si="20"/>
        <v>3.0612184742642899E-2</v>
      </c>
      <c r="O123">
        <v>3.7087294491095283E-6</v>
      </c>
      <c r="P123">
        <f t="shared" si="21"/>
        <v>3.0608476013193789E-2</v>
      </c>
      <c r="Q123">
        <f t="shared" si="22"/>
        <v>0.96938781525735707</v>
      </c>
      <c r="R123">
        <f t="shared" si="23"/>
        <v>1</v>
      </c>
      <c r="S123">
        <v>8.9009506778628678E-3</v>
      </c>
      <c r="T123">
        <v>32.138899813853477</v>
      </c>
      <c r="U123">
        <f t="shared" si="28"/>
        <v>32.669821767986654</v>
      </c>
      <c r="V123">
        <v>1.5307130815567199E-2</v>
      </c>
      <c r="W123">
        <f t="shared" si="29"/>
        <v>1.5555622697122729E-2</v>
      </c>
    </row>
    <row r="124" spans="1:23">
      <c r="A124">
        <v>121</v>
      </c>
      <c r="B124">
        <f t="shared" si="15"/>
        <v>75.083333333333329</v>
      </c>
      <c r="C124">
        <f t="shared" si="16"/>
        <v>0.70688940582007465</v>
      </c>
      <c r="D124" s="21">
        <v>3.27244418606625E-6</v>
      </c>
      <c r="E124">
        <f t="shared" si="24"/>
        <v>0.11763739281333463</v>
      </c>
      <c r="F124">
        <f t="shared" si="17"/>
        <v>0.12515218820245544</v>
      </c>
      <c r="G124" s="22">
        <f t="shared" si="25"/>
        <v>3.2724441860662488E-6</v>
      </c>
      <c r="H124" s="21">
        <v>2.9648945716633599E-2</v>
      </c>
      <c r="I124">
        <f t="shared" si="18"/>
        <v>3.1971556710285204E-2</v>
      </c>
      <c r="J124" s="22">
        <f t="shared" si="26"/>
        <v>2.9648945716633599E-2</v>
      </c>
      <c r="K124">
        <f t="shared" si="27"/>
        <v>3.1465870015722985E-2</v>
      </c>
      <c r="L124">
        <v>2.1612991493864531E-3</v>
      </c>
      <c r="M124">
        <f t="shared" si="19"/>
        <v>3.1465870015722985E-2</v>
      </c>
      <c r="N124">
        <f t="shared" si="20"/>
        <v>2.9648945716633599E-2</v>
      </c>
      <c r="O124">
        <v>3.2724441860662488E-6</v>
      </c>
      <c r="P124">
        <f t="shared" si="21"/>
        <v>2.9645673272447534E-2</v>
      </c>
      <c r="Q124">
        <f t="shared" si="22"/>
        <v>0.97035105428336643</v>
      </c>
      <c r="R124">
        <f t="shared" si="23"/>
        <v>1</v>
      </c>
      <c r="S124">
        <v>7.8538660465589973E-3</v>
      </c>
      <c r="T124">
        <v>31.127956936069911</v>
      </c>
      <c r="U124">
        <f t="shared" si="28"/>
        <v>31.641805783323903</v>
      </c>
      <c r="V124">
        <v>1.4825389142688898E-2</v>
      </c>
      <c r="W124">
        <f t="shared" si="29"/>
        <v>1.5066259979128048E-2</v>
      </c>
    </row>
    <row r="125" spans="1:23">
      <c r="A125">
        <v>122</v>
      </c>
      <c r="B125">
        <f t="shared" si="15"/>
        <v>75.166666666666671</v>
      </c>
      <c r="C125">
        <f t="shared" si="16"/>
        <v>0.70486580747627015</v>
      </c>
      <c r="D125" s="21">
        <v>2.8868846321032101E-6</v>
      </c>
      <c r="E125">
        <f t="shared" si="24"/>
        <v>0.11782005499275283</v>
      </c>
      <c r="F125">
        <f t="shared" si="17"/>
        <v>0.12535922450185616</v>
      </c>
      <c r="G125" s="22">
        <f t="shared" si="25"/>
        <v>2.8868846321032088E-6</v>
      </c>
      <c r="H125" s="21">
        <v>2.8715256776007701E-2</v>
      </c>
      <c r="I125">
        <f t="shared" si="18"/>
        <v>3.1997990691929275E-2</v>
      </c>
      <c r="J125" s="22">
        <f t="shared" si="26"/>
        <v>2.8715256776007701E-2</v>
      </c>
      <c r="K125">
        <f t="shared" si="27"/>
        <v>3.1491471890755407E-2</v>
      </c>
      <c r="L125">
        <v>2.1612991493864531E-3</v>
      </c>
      <c r="M125">
        <f t="shared" si="19"/>
        <v>3.1491471890755407E-2</v>
      </c>
      <c r="N125">
        <f t="shared" si="20"/>
        <v>2.8715256776007701E-2</v>
      </c>
      <c r="O125">
        <v>2.8868846321032088E-6</v>
      </c>
      <c r="P125">
        <f t="shared" si="21"/>
        <v>2.8712369891375596E-2</v>
      </c>
      <c r="Q125">
        <f t="shared" si="22"/>
        <v>0.97128474322399228</v>
      </c>
      <c r="R125">
        <f t="shared" si="23"/>
        <v>1</v>
      </c>
      <c r="S125">
        <v>6.9285231170477012E-3</v>
      </c>
      <c r="T125">
        <v>30.147988385944377</v>
      </c>
      <c r="U125">
        <f t="shared" si="28"/>
        <v>30.645363855588947</v>
      </c>
      <c r="V125">
        <v>1.4358436715700839E-2</v>
      </c>
      <c r="W125">
        <f t="shared" si="29"/>
        <v>1.4591912929194869E-2</v>
      </c>
    </row>
    <row r="126" spans="1:23">
      <c r="A126">
        <v>123</v>
      </c>
      <c r="B126">
        <f t="shared" si="15"/>
        <v>75.25</v>
      </c>
      <c r="C126">
        <f t="shared" si="16"/>
        <v>0.70284800204748654</v>
      </c>
      <c r="D126" s="21">
        <v>2.5462279702244801E-6</v>
      </c>
      <c r="E126">
        <f t="shared" si="24"/>
        <v>0.11800148093571305</v>
      </c>
      <c r="F126">
        <f t="shared" si="17"/>
        <v>0.12556490204218967</v>
      </c>
      <c r="G126" s="22">
        <f t="shared" si="25"/>
        <v>2.5462279702244789E-6</v>
      </c>
      <c r="H126" s="21">
        <v>2.7810241354902801E-2</v>
      </c>
      <c r="I126">
        <f t="shared" si="18"/>
        <v>3.2024229584452453E-2</v>
      </c>
      <c r="J126" s="22">
        <f t="shared" si="26"/>
        <v>2.7810241354902801E-2</v>
      </c>
      <c r="K126">
        <f t="shared" si="27"/>
        <v>3.151688414853604E-2</v>
      </c>
      <c r="L126">
        <v>2.1612991493864531E-3</v>
      </c>
      <c r="M126">
        <f t="shared" si="19"/>
        <v>3.151688414853604E-2</v>
      </c>
      <c r="N126">
        <f t="shared" si="20"/>
        <v>2.7810241354902801E-2</v>
      </c>
      <c r="O126">
        <v>2.5462279702244789E-6</v>
      </c>
      <c r="P126">
        <f t="shared" si="21"/>
        <v>2.7807695126932576E-2</v>
      </c>
      <c r="Q126">
        <f t="shared" si="22"/>
        <v>0.97218975864509716</v>
      </c>
      <c r="R126">
        <f t="shared" si="23"/>
        <v>1</v>
      </c>
      <c r="S126">
        <v>6.1109471285387493E-3</v>
      </c>
      <c r="T126">
        <v>29.198079883279206</v>
      </c>
      <c r="U126">
        <f t="shared" si="28"/>
        <v>29.679553869734583</v>
      </c>
      <c r="V126">
        <v>1.3905833621283063E-2</v>
      </c>
      <c r="W126">
        <f t="shared" si="29"/>
        <v>1.413213516849195E-2</v>
      </c>
    </row>
    <row r="127" spans="1:23">
      <c r="A127">
        <v>124</v>
      </c>
      <c r="B127">
        <f t="shared" si="15"/>
        <v>75.333333333333329</v>
      </c>
      <c r="C127">
        <f t="shared" si="16"/>
        <v>0.70083597295046007</v>
      </c>
      <c r="D127" s="21">
        <v>2.24531044828059E-6</v>
      </c>
      <c r="E127">
        <f t="shared" si="24"/>
        <v>0.11818168893862269</v>
      </c>
      <c r="F127">
        <f t="shared" si="17"/>
        <v>0.12576924072459564</v>
      </c>
      <c r="G127" s="22">
        <f t="shared" si="25"/>
        <v>2.2453104482805887E-6</v>
      </c>
      <c r="H127" s="21">
        <v>2.6933047670641901E-2</v>
      </c>
      <c r="I127">
        <f t="shared" si="18"/>
        <v>3.2050276402767114E-2</v>
      </c>
      <c r="J127" s="22">
        <f t="shared" si="26"/>
        <v>2.6933047670641901E-2</v>
      </c>
      <c r="K127">
        <f t="shared" si="27"/>
        <v>3.1542109723771028E-2</v>
      </c>
      <c r="L127">
        <v>2.1612991493864531E-3</v>
      </c>
      <c r="M127">
        <f t="shared" si="19"/>
        <v>3.1542109723771028E-2</v>
      </c>
      <c r="N127">
        <f t="shared" si="20"/>
        <v>2.6933047670641901E-2</v>
      </c>
      <c r="O127">
        <v>2.2453104482805887E-6</v>
      </c>
      <c r="P127">
        <f t="shared" si="21"/>
        <v>2.6930802360193622E-2</v>
      </c>
      <c r="Q127">
        <f t="shared" si="22"/>
        <v>0.97306695232935814</v>
      </c>
      <c r="R127">
        <f t="shared" si="23"/>
        <v>1</v>
      </c>
      <c r="S127">
        <v>5.3887450758734129E-3</v>
      </c>
      <c r="T127">
        <v>28.277342478203302</v>
      </c>
      <c r="U127">
        <f t="shared" si="28"/>
        <v>28.743461026843459</v>
      </c>
      <c r="V127">
        <v>1.346715252224647E-2</v>
      </c>
      <c r="W127">
        <f t="shared" si="29"/>
        <v>1.3686493071764765E-2</v>
      </c>
    </row>
    <row r="128" spans="1:23">
      <c r="A128">
        <v>125</v>
      </c>
      <c r="B128">
        <f t="shared" si="15"/>
        <v>75.416666666666671</v>
      </c>
      <c r="C128">
        <f t="shared" si="16"/>
        <v>0.69882970364940056</v>
      </c>
      <c r="D128" s="21">
        <v>1.97955393890584E-6</v>
      </c>
      <c r="E128">
        <f t="shared" si="24"/>
        <v>0.11836069688192141</v>
      </c>
      <c r="F128">
        <f t="shared" si="17"/>
        <v>0.12597226000044806</v>
      </c>
      <c r="G128" s="22">
        <f t="shared" si="25"/>
        <v>1.9795539389058387E-6</v>
      </c>
      <c r="H128" s="21">
        <v>2.6082848074939501E-2</v>
      </c>
      <c r="I128">
        <f t="shared" si="18"/>
        <v>3.2076134091225318E-2</v>
      </c>
      <c r="J128" s="22">
        <f t="shared" si="26"/>
        <v>2.6082848074939501E-2</v>
      </c>
      <c r="K128">
        <f t="shared" si="27"/>
        <v>3.1567151482420286E-2</v>
      </c>
      <c r="L128">
        <v>2.1612991493864531E-3</v>
      </c>
      <c r="M128">
        <f t="shared" si="19"/>
        <v>3.1567151482420286E-2</v>
      </c>
      <c r="N128">
        <f t="shared" si="20"/>
        <v>2.6082848074939501E-2</v>
      </c>
      <c r="O128">
        <v>1.9795539389058387E-6</v>
      </c>
      <c r="P128">
        <f t="shared" si="21"/>
        <v>2.6080868521000597E-2</v>
      </c>
      <c r="Q128">
        <f t="shared" si="22"/>
        <v>0.97391715192506045</v>
      </c>
      <c r="R128">
        <f t="shared" si="23"/>
        <v>1</v>
      </c>
      <c r="S128">
        <v>4.7509294533740129E-3</v>
      </c>
      <c r="T128">
        <v>27.384911947050625</v>
      </c>
      <c r="U128">
        <f t="shared" si="28"/>
        <v>27.836197049891588</v>
      </c>
      <c r="V128">
        <v>1.3041978312572646E-2</v>
      </c>
      <c r="W128">
        <f t="shared" si="29"/>
        <v>1.3254565417409558E-2</v>
      </c>
    </row>
    <row r="129" spans="1:23">
      <c r="A129">
        <v>126</v>
      </c>
      <c r="B129">
        <f t="shared" si="15"/>
        <v>75.5</v>
      </c>
      <c r="C129">
        <f t="shared" si="16"/>
        <v>0.69682917765585306</v>
      </c>
      <c r="D129" s="21">
        <v>1.7449005402880201E-6</v>
      </c>
      <c r="E129">
        <f t="shared" si="24"/>
        <v>0.11853852224280381</v>
      </c>
      <c r="F129">
        <f t="shared" si="17"/>
        <v>0.12617397888505669</v>
      </c>
      <c r="G129" s="22">
        <f t="shared" si="25"/>
        <v>1.744900540288019E-6</v>
      </c>
      <c r="H129" s="21">
        <v>2.52588384197228E-2</v>
      </c>
      <c r="I129">
        <f t="shared" si="18"/>
        <v>3.2101805525842152E-2</v>
      </c>
      <c r="J129" s="22">
        <f t="shared" si="26"/>
        <v>2.52588384197228E-2</v>
      </c>
      <c r="K129">
        <f t="shared" si="27"/>
        <v>3.1592012223864985E-2</v>
      </c>
      <c r="L129">
        <v>2.1612991493864531E-3</v>
      </c>
      <c r="M129">
        <f t="shared" si="19"/>
        <v>3.1592012223864985E-2</v>
      </c>
      <c r="N129">
        <f t="shared" si="20"/>
        <v>2.52588384197228E-2</v>
      </c>
      <c r="O129">
        <v>1.744900540288019E-6</v>
      </c>
      <c r="P129">
        <f t="shared" si="21"/>
        <v>2.5257093519182511E-2</v>
      </c>
      <c r="Q129">
        <f t="shared" si="22"/>
        <v>0.97474116158027724</v>
      </c>
      <c r="R129">
        <f t="shared" si="23"/>
        <v>1</v>
      </c>
      <c r="S129">
        <v>4.1877612966912453E-3</v>
      </c>
      <c r="T129">
        <v>26.519948195141637</v>
      </c>
      <c r="U129">
        <f t="shared" si="28"/>
        <v>26.956899416471163</v>
      </c>
      <c r="V129">
        <v>1.262990778201268E-2</v>
      </c>
      <c r="W129">
        <f t="shared" si="29"/>
        <v>1.2835943047292662E-2</v>
      </c>
    </row>
    <row r="130" spans="1:23">
      <c r="A130">
        <v>127</v>
      </c>
      <c r="B130">
        <f t="shared" si="15"/>
        <v>75.583333333333329</v>
      </c>
      <c r="C130">
        <f t="shared" si="16"/>
        <v>0.69483437852856489</v>
      </c>
      <c r="D130" s="21">
        <v>1.5377543548884299E-6</v>
      </c>
      <c r="E130">
        <f t="shared" si="24"/>
        <v>0.1187151821073984</v>
      </c>
      <c r="F130">
        <f t="shared" si="17"/>
        <v>0.12637441597078139</v>
      </c>
      <c r="G130" s="22">
        <f t="shared" si="25"/>
        <v>1.5377543548884291E-6</v>
      </c>
      <c r="H130" s="21">
        <v>2.44602374373598E-2</v>
      </c>
      <c r="I130">
        <f t="shared" si="18"/>
        <v>3.2127293516417472E-2</v>
      </c>
      <c r="J130" s="22">
        <f t="shared" si="26"/>
        <v>2.44602374373598E-2</v>
      </c>
      <c r="K130">
        <f t="shared" si="27"/>
        <v>3.161669468297601E-2</v>
      </c>
      <c r="L130">
        <v>2.1612991493864531E-3</v>
      </c>
      <c r="M130">
        <f t="shared" si="19"/>
        <v>3.161669468297601E-2</v>
      </c>
      <c r="N130">
        <f t="shared" si="20"/>
        <v>2.44602374373598E-2</v>
      </c>
      <c r="O130">
        <v>1.5377543548884291E-6</v>
      </c>
      <c r="P130">
        <f t="shared" si="21"/>
        <v>2.4458699683004913E-2</v>
      </c>
      <c r="Q130">
        <f t="shared" si="22"/>
        <v>0.97553976256264019</v>
      </c>
      <c r="R130">
        <f t="shared" si="23"/>
        <v>1</v>
      </c>
      <c r="S130">
        <v>3.6906104517322297E-3</v>
      </c>
      <c r="T130">
        <v>25.681634667155159</v>
      </c>
      <c r="U130">
        <f t="shared" si="28"/>
        <v>26.104730617022611</v>
      </c>
      <c r="V130">
        <v>1.223054928989927E-2</v>
      </c>
      <c r="W130">
        <f t="shared" si="29"/>
        <v>1.2430228535955976E-2</v>
      </c>
    </row>
    <row r="131" spans="1:23">
      <c r="A131">
        <v>128</v>
      </c>
      <c r="B131">
        <f t="shared" ref="B131:B194" si="30">(start_age*12+A131)/12</f>
        <v>75.666666666666671</v>
      </c>
      <c r="C131">
        <f t="shared" ref="C131:C194" si="31">1/(1+Disc_rate_per_cyc)^$A131</f>
        <v>0.69284528987334926</v>
      </c>
      <c r="D131" s="21">
        <v>1.3549296736912E-6</v>
      </c>
      <c r="E131">
        <f t="shared" si="24"/>
        <v>0.11889069318258871</v>
      </c>
      <c r="F131">
        <f t="shared" si="17"/>
        <v>0.12657358943976854</v>
      </c>
      <c r="G131" s="22">
        <f t="shared" si="25"/>
        <v>1.3549296736911991E-6</v>
      </c>
      <c r="H131" s="21">
        <v>2.36862861350817E-2</v>
      </c>
      <c r="I131">
        <f t="shared" si="18"/>
        <v>3.215260080855549E-2</v>
      </c>
      <c r="J131" s="22">
        <f t="shared" si="26"/>
        <v>2.36862861350817E-2</v>
      </c>
      <c r="K131">
        <f t="shared" si="27"/>
        <v>3.1641201532082941E-2</v>
      </c>
      <c r="L131">
        <v>2.1612991493864531E-3</v>
      </c>
      <c r="M131">
        <f t="shared" si="19"/>
        <v>3.1641201532082941E-2</v>
      </c>
      <c r="N131">
        <f t="shared" si="20"/>
        <v>2.36862861350817E-2</v>
      </c>
      <c r="O131">
        <v>1.3549296736911991E-6</v>
      </c>
      <c r="P131">
        <f t="shared" si="21"/>
        <v>2.3684931205408009E-2</v>
      </c>
      <c r="Q131">
        <f t="shared" si="22"/>
        <v>0.97631371386491828</v>
      </c>
      <c r="R131">
        <f t="shared" si="23"/>
        <v>1</v>
      </c>
      <c r="S131">
        <v>3.2518312168588778E-3</v>
      </c>
      <c r="T131">
        <v>24.869177765678408</v>
      </c>
      <c r="U131">
        <f t="shared" si="28"/>
        <v>25.278877437251076</v>
      </c>
      <c r="V131">
        <v>1.1843522447849484E-2</v>
      </c>
      <c r="W131">
        <f t="shared" si="29"/>
        <v>1.2037035868874377E-2</v>
      </c>
    </row>
    <row r="132" spans="1:23">
      <c r="A132">
        <v>129</v>
      </c>
      <c r="B132">
        <f t="shared" si="30"/>
        <v>75.75</v>
      </c>
      <c r="C132">
        <f t="shared" si="31"/>
        <v>0.69086189534295028</v>
      </c>
      <c r="D132" s="21">
        <v>1.19360487479937E-6</v>
      </c>
      <c r="E132">
        <f t="shared" si="24"/>
        <v>0.11906507180725989</v>
      </c>
      <c r="F132">
        <f t="shared" ref="F132:F195" si="32">-LN(D132/D131)*PSA_SocHRsclr_pfs_VtUs</f>
        <v>0.12677151707606246</v>
      </c>
      <c r="G132" s="22">
        <f t="shared" si="25"/>
        <v>1.1936048747993693E-6</v>
      </c>
      <c r="H132" s="21">
        <v>2.2936247203381901E-2</v>
      </c>
      <c r="I132">
        <f t="shared" ref="I132:I195" si="33">-LN(H132/H131)*PSA_SocHRsclr_os_VtUs</f>
        <v>3.2177730085635035E-2</v>
      </c>
      <c r="J132" s="22">
        <f t="shared" si="26"/>
        <v>2.2936247203381901E-2</v>
      </c>
      <c r="K132">
        <f t="shared" si="27"/>
        <v>3.1665535382894738E-2</v>
      </c>
      <c r="L132">
        <v>2.1612991493864531E-3</v>
      </c>
      <c r="M132">
        <f t="shared" ref="M132:M195" si="34">MAX(K132:L132)</f>
        <v>3.1665535382894738E-2</v>
      </c>
      <c r="N132">
        <f t="shared" ref="N132:N195" si="35">N131*(1-M132)</f>
        <v>2.2936247203381901E-2</v>
      </c>
      <c r="O132">
        <v>1.1936048747993693E-6</v>
      </c>
      <c r="P132">
        <f t="shared" ref="P132:P195" si="36">N132-O132</f>
        <v>2.2935053598507102E-2</v>
      </c>
      <c r="Q132">
        <f t="shared" ref="Q132:Q195" si="37">1-N132</f>
        <v>0.97706375279661806</v>
      </c>
      <c r="R132">
        <f t="shared" ref="R132:R195" si="38">SUM(O132:Q132)</f>
        <v>1</v>
      </c>
      <c r="S132">
        <v>2.8646516995184863E-3</v>
      </c>
      <c r="T132">
        <v>24.081806278432456</v>
      </c>
      <c r="U132">
        <f t="shared" si="28"/>
        <v>24.478550263513618</v>
      </c>
      <c r="V132">
        <v>1.1468457811055894E-2</v>
      </c>
      <c r="W132">
        <f t="shared" si="29"/>
        <v>1.165599012945269E-2</v>
      </c>
    </row>
    <row r="133" spans="1:23">
      <c r="A133">
        <v>130</v>
      </c>
      <c r="B133">
        <f t="shared" si="30"/>
        <v>75.833333333333329</v>
      </c>
      <c r="C133">
        <f t="shared" si="31"/>
        <v>0.68888417863690954</v>
      </c>
      <c r="D133" s="21">
        <v>1.0512814181178599E-6</v>
      </c>
      <c r="E133">
        <f t="shared" ref="E133:E196" si="39">1-D133/D132</f>
        <v>0.11923833396326644</v>
      </c>
      <c r="F133">
        <f t="shared" si="32"/>
        <v>0.12696821627742633</v>
      </c>
      <c r="G133" s="22">
        <f t="shared" ref="G133:G196" si="40">G132*EXP(-F133)</f>
        <v>1.0512814181178593E-6</v>
      </c>
      <c r="H133" s="21">
        <v>2.2209404438172299E-2</v>
      </c>
      <c r="I133">
        <f t="shared" si="33"/>
        <v>3.2202683970675966E-2</v>
      </c>
      <c r="J133" s="22">
        <f t="shared" ref="J133:J196" si="41">J132*EXP(-I133)</f>
        <v>2.2209404438172299E-2</v>
      </c>
      <c r="K133">
        <f t="shared" ref="K133:K196" si="42">1-(J133/J132)</f>
        <v>3.1689698788319287E-2</v>
      </c>
      <c r="L133">
        <v>2.1612991493864531E-3</v>
      </c>
      <c r="M133">
        <f t="shared" si="34"/>
        <v>3.1689698788319287E-2</v>
      </c>
      <c r="N133">
        <f t="shared" si="35"/>
        <v>2.2209404438172299E-2</v>
      </c>
      <c r="O133">
        <v>1.0512814181178593E-6</v>
      </c>
      <c r="P133">
        <f t="shared" si="36"/>
        <v>2.2208353156754183E-2</v>
      </c>
      <c r="Q133">
        <f t="shared" si="37"/>
        <v>0.97779059556182768</v>
      </c>
      <c r="R133">
        <f t="shared" si="38"/>
        <v>1</v>
      </c>
      <c r="S133">
        <v>2.5230754034828622E-3</v>
      </c>
      <c r="T133">
        <v>23.318770814591893</v>
      </c>
      <c r="U133">
        <f t="shared" ref="U133:U196" si="43">(S132+T132+S133+T133)/2</f>
        <v>23.702982410063676</v>
      </c>
      <c r="V133">
        <v>1.1104996577883223E-2</v>
      </c>
      <c r="W133">
        <f t="shared" ref="W133:W196" si="44">(V132+V133)/2</f>
        <v>1.1286727194469558E-2</v>
      </c>
    </row>
    <row r="134" spans="1:23">
      <c r="A134">
        <v>131</v>
      </c>
      <c r="B134">
        <f t="shared" si="30"/>
        <v>75.916666666666671</v>
      </c>
      <c r="C134">
        <f t="shared" si="31"/>
        <v>0.68691212350143105</v>
      </c>
      <c r="D134" s="21">
        <v>9.2574738329559504E-7</v>
      </c>
      <c r="E134">
        <f t="shared" si="39"/>
        <v>0.11941049528585046</v>
      </c>
      <c r="F134">
        <f t="shared" si="32"/>
        <v>0.12716370406656369</v>
      </c>
      <c r="G134" s="22">
        <f t="shared" si="40"/>
        <v>9.2574738329559441E-7</v>
      </c>
      <c r="H134" s="21">
        <v>2.15050621764734E-2</v>
      </c>
      <c r="I134">
        <f t="shared" si="33"/>
        <v>3.2227465028163364E-2</v>
      </c>
      <c r="J134" s="22">
        <f t="shared" si="41"/>
        <v>2.15050621764734E-2</v>
      </c>
      <c r="K134">
        <f t="shared" si="42"/>
        <v>3.1713694244241641E-2</v>
      </c>
      <c r="L134">
        <v>2.1612991493864531E-3</v>
      </c>
      <c r="M134">
        <f t="shared" si="34"/>
        <v>3.1713694244241641E-2</v>
      </c>
      <c r="N134">
        <f t="shared" si="35"/>
        <v>2.15050621764734E-2</v>
      </c>
      <c r="O134">
        <v>9.2574738329559441E-7</v>
      </c>
      <c r="P134">
        <f t="shared" si="36"/>
        <v>2.1504136429090104E-2</v>
      </c>
      <c r="Q134">
        <f t="shared" si="37"/>
        <v>0.97849493782352659</v>
      </c>
      <c r="R134">
        <f t="shared" si="38"/>
        <v>1</v>
      </c>
      <c r="S134">
        <v>2.2217937199094265E-3</v>
      </c>
      <c r="T134">
        <v>22.579343250544611</v>
      </c>
      <c r="U134">
        <f t="shared" si="43"/>
        <v>22.951429467129948</v>
      </c>
      <c r="V134">
        <v>1.0752790297504023E-2</v>
      </c>
      <c r="W134">
        <f t="shared" si="44"/>
        <v>1.0928893437693623E-2</v>
      </c>
    </row>
    <row r="135" spans="1:23">
      <c r="A135">
        <v>132</v>
      </c>
      <c r="B135">
        <f t="shared" si="30"/>
        <v>76</v>
      </c>
      <c r="C135">
        <f t="shared" si="31"/>
        <v>0.68494571372924873</v>
      </c>
      <c r="D135" s="21">
        <v>8.1504505678366503E-7</v>
      </c>
      <c r="E135">
        <f t="shared" si="39"/>
        <v>0.11958157107378209</v>
      </c>
      <c r="F135">
        <f t="shared" si="32"/>
        <v>0.12735799710204837</v>
      </c>
      <c r="G135" s="22">
        <f t="shared" si="40"/>
        <v>8.150450567836645E-7</v>
      </c>
      <c r="H135" s="21">
        <v>2.0822544745413701E-2</v>
      </c>
      <c r="I135">
        <f t="shared" si="33"/>
        <v>3.2252075765796175E-2</v>
      </c>
      <c r="J135" s="22">
        <f t="shared" si="41"/>
        <v>2.0822544745413701E-2</v>
      </c>
      <c r="K135">
        <f t="shared" si="42"/>
        <v>3.173752419122855E-2</v>
      </c>
      <c r="L135">
        <v>2.4030919633175607E-3</v>
      </c>
      <c r="M135">
        <f t="shared" si="34"/>
        <v>3.173752419122855E-2</v>
      </c>
      <c r="N135">
        <f t="shared" si="35"/>
        <v>2.0822544745413701E-2</v>
      </c>
      <c r="O135">
        <v>8.150450567836645E-7</v>
      </c>
      <c r="P135">
        <f t="shared" si="36"/>
        <v>2.0821729700356919E-2</v>
      </c>
      <c r="Q135">
        <f t="shared" si="37"/>
        <v>0.97917745525458633</v>
      </c>
      <c r="R135">
        <f t="shared" si="38"/>
        <v>1</v>
      </c>
      <c r="S135">
        <v>1.9561081362807946E-3</v>
      </c>
      <c r="T135">
        <v>21.862816185374765</v>
      </c>
      <c r="U135">
        <f t="shared" si="43"/>
        <v>22.22316866888778</v>
      </c>
      <c r="V135">
        <v>1.0411500585322751E-2</v>
      </c>
      <c r="W135">
        <f t="shared" si="44"/>
        <v>1.0582145441413386E-2</v>
      </c>
    </row>
    <row r="136" spans="1:23">
      <c r="A136">
        <v>133</v>
      </c>
      <c r="B136">
        <f t="shared" si="30"/>
        <v>76.083333333333329</v>
      </c>
      <c r="C136">
        <f t="shared" si="31"/>
        <v>0.68298493315949249</v>
      </c>
      <c r="D136" s="21">
        <v>7.1744212647903401E-7</v>
      </c>
      <c r="E136">
        <f t="shared" si="39"/>
        <v>0.11975157629909716</v>
      </c>
      <c r="F136">
        <f t="shared" si="32"/>
        <v>0.12755111168881955</v>
      </c>
      <c r="G136" s="22">
        <f t="shared" si="40"/>
        <v>7.1744212647903348E-7</v>
      </c>
      <c r="H136" s="21">
        <v>2.0161195924312598E-2</v>
      </c>
      <c r="I136">
        <f t="shared" si="33"/>
        <v>3.2276518636135114E-2</v>
      </c>
      <c r="J136" s="22">
        <f t="shared" si="41"/>
        <v>2.0161195924312598E-2</v>
      </c>
      <c r="K136">
        <f t="shared" si="42"/>
        <v>3.176119101613506E-2</v>
      </c>
      <c r="L136">
        <v>2.4030919633175607E-3</v>
      </c>
      <c r="M136">
        <f t="shared" si="34"/>
        <v>3.176119101613506E-2</v>
      </c>
      <c r="N136">
        <f t="shared" si="35"/>
        <v>2.0161195924312598E-2</v>
      </c>
      <c r="O136">
        <v>7.1744212647903348E-7</v>
      </c>
      <c r="P136">
        <f t="shared" si="36"/>
        <v>2.016047848218612E-2</v>
      </c>
      <c r="Q136">
        <f t="shared" si="37"/>
        <v>0.97983880407568735</v>
      </c>
      <c r="R136">
        <f t="shared" si="38"/>
        <v>1</v>
      </c>
      <c r="S136">
        <v>1.7218611035496804E-3</v>
      </c>
      <c r="T136">
        <v>21.168502406295428</v>
      </c>
      <c r="U136">
        <f t="shared" si="43"/>
        <v>21.517498280455012</v>
      </c>
      <c r="V136">
        <v>1.0080798845951713E-2</v>
      </c>
      <c r="W136">
        <f t="shared" si="44"/>
        <v>1.0246149715637233E-2</v>
      </c>
    </row>
    <row r="137" spans="1:23">
      <c r="A137">
        <v>134</v>
      </c>
      <c r="B137">
        <f t="shared" si="30"/>
        <v>76.166666666666671</v>
      </c>
      <c r="C137">
        <f t="shared" si="31"/>
        <v>0.68102976567755569</v>
      </c>
      <c r="D137" s="21">
        <v>6.3140608957228104E-7</v>
      </c>
      <c r="E137">
        <f t="shared" si="39"/>
        <v>0.11992052561645505</v>
      </c>
      <c r="F137">
        <f t="shared" si="32"/>
        <v>0.12774306378826705</v>
      </c>
      <c r="G137" s="22">
        <f t="shared" si="40"/>
        <v>6.3140608957228051E-7</v>
      </c>
      <c r="H137" s="21">
        <v>1.9520378419617498E-2</v>
      </c>
      <c r="I137">
        <f t="shared" si="33"/>
        <v>3.2300796038266896E-2</v>
      </c>
      <c r="J137" s="22">
        <f t="shared" si="41"/>
        <v>1.9520378419617498E-2</v>
      </c>
      <c r="K137">
        <f t="shared" si="42"/>
        <v>3.1784697053726441E-2</v>
      </c>
      <c r="L137">
        <v>2.4030919633175607E-3</v>
      </c>
      <c r="M137">
        <f t="shared" si="34"/>
        <v>3.1784697053726441E-2</v>
      </c>
      <c r="N137">
        <f t="shared" si="35"/>
        <v>1.9520378419617498E-2</v>
      </c>
      <c r="O137">
        <v>6.3140608957228051E-7</v>
      </c>
      <c r="P137">
        <f t="shared" si="36"/>
        <v>1.9519747013527926E-2</v>
      </c>
      <c r="Q137">
        <f t="shared" si="37"/>
        <v>0.98047962158038249</v>
      </c>
      <c r="R137">
        <f t="shared" si="38"/>
        <v>1</v>
      </c>
      <c r="S137">
        <v>1.5153746149734733E-3</v>
      </c>
      <c r="T137">
        <v>20.495734364204321</v>
      </c>
      <c r="U137">
        <f t="shared" si="43"/>
        <v>20.833737003109135</v>
      </c>
      <c r="V137">
        <v>9.7603660035138293E-3</v>
      </c>
      <c r="W137">
        <f t="shared" si="44"/>
        <v>9.9205824247327705E-3</v>
      </c>
    </row>
    <row r="138" spans="1:23">
      <c r="A138">
        <v>135</v>
      </c>
      <c r="B138">
        <f t="shared" si="30"/>
        <v>76.25</v>
      </c>
      <c r="C138">
        <f t="shared" si="31"/>
        <v>0.67908019521496277</v>
      </c>
      <c r="D138" s="21">
        <v>5.5558152145387298E-7</v>
      </c>
      <c r="E138">
        <f t="shared" si="39"/>
        <v>0.1200884333722092</v>
      </c>
      <c r="F138">
        <f t="shared" si="32"/>
        <v>0.12793386902801085</v>
      </c>
      <c r="G138" s="22">
        <f t="shared" si="40"/>
        <v>5.5558152145387256E-7</v>
      </c>
      <c r="H138" s="21">
        <v>1.8899473352468599E-2</v>
      </c>
      <c r="I138">
        <f t="shared" si="33"/>
        <v>3.2324910319321526E-2</v>
      </c>
      <c r="J138" s="22">
        <f t="shared" si="41"/>
        <v>1.8899473352468599E-2</v>
      </c>
      <c r="K138">
        <f t="shared" si="42"/>
        <v>3.1808044588157447E-2</v>
      </c>
      <c r="L138">
        <v>2.4030919633175607E-3</v>
      </c>
      <c r="M138">
        <f t="shared" si="34"/>
        <v>3.1808044588157447E-2</v>
      </c>
      <c r="N138">
        <f t="shared" si="35"/>
        <v>1.8899473352468599E-2</v>
      </c>
      <c r="O138">
        <v>5.5558152145387256E-7</v>
      </c>
      <c r="P138">
        <f t="shared" si="36"/>
        <v>1.8898917770947144E-2</v>
      </c>
      <c r="Q138">
        <f t="shared" si="37"/>
        <v>0.98110052664753145</v>
      </c>
      <c r="R138">
        <f t="shared" si="38"/>
        <v>1</v>
      </c>
      <c r="S138">
        <v>1.3333956514892942E-3</v>
      </c>
      <c r="T138">
        <v>19.843863659494502</v>
      </c>
      <c r="U138">
        <f t="shared" si="43"/>
        <v>20.171223396982644</v>
      </c>
      <c r="V138">
        <v>9.4498922390603059E-3</v>
      </c>
      <c r="W138">
        <f t="shared" si="44"/>
        <v>9.6051291212870676E-3</v>
      </c>
    </row>
    <row r="139" spans="1:23">
      <c r="A139">
        <v>136</v>
      </c>
      <c r="B139">
        <f t="shared" si="30"/>
        <v>76.333333333333329</v>
      </c>
      <c r="C139">
        <f t="shared" si="31"/>
        <v>0.67713620574923694</v>
      </c>
      <c r="D139" s="21">
        <v>4.8876989135378896E-7</v>
      </c>
      <c r="E139">
        <f t="shared" si="39"/>
        <v>0.12025531361310948</v>
      </c>
      <c r="F139">
        <f t="shared" si="32"/>
        <v>0.12812354271128246</v>
      </c>
      <c r="G139" s="22">
        <f t="shared" si="40"/>
        <v>4.8876989135378865E-7</v>
      </c>
      <c r="H139" s="21">
        <v>1.8297879758661099E-2</v>
      </c>
      <c r="I139">
        <f t="shared" si="33"/>
        <v>3.2348863775998153E-2</v>
      </c>
      <c r="J139" s="22">
        <f t="shared" si="41"/>
        <v>1.8297879758661099E-2</v>
      </c>
      <c r="K139">
        <f t="shared" si="42"/>
        <v>3.1831235854459461E-2</v>
      </c>
      <c r="L139">
        <v>2.4030919633175607E-3</v>
      </c>
      <c r="M139">
        <f t="shared" si="34"/>
        <v>3.1831235854459461E-2</v>
      </c>
      <c r="N139">
        <f t="shared" si="35"/>
        <v>1.8297879758661099E-2</v>
      </c>
      <c r="O139">
        <v>4.8876989135378865E-7</v>
      </c>
      <c r="P139">
        <f t="shared" si="36"/>
        <v>1.8297390988769743E-2</v>
      </c>
      <c r="Q139">
        <f t="shared" si="37"/>
        <v>0.98170212024133885</v>
      </c>
      <c r="R139">
        <f t="shared" si="38"/>
        <v>1</v>
      </c>
      <c r="S139">
        <v>1.1730477392490927E-3</v>
      </c>
      <c r="T139">
        <v>19.212260538208231</v>
      </c>
      <c r="U139">
        <f t="shared" si="43"/>
        <v>19.529315320546736</v>
      </c>
      <c r="V139">
        <v>9.1490767349001276E-3</v>
      </c>
      <c r="W139">
        <f t="shared" si="44"/>
        <v>9.2994844869802168E-3</v>
      </c>
    </row>
    <row r="140" spans="1:23">
      <c r="A140">
        <v>137</v>
      </c>
      <c r="B140">
        <f t="shared" si="30"/>
        <v>76.416666666666671</v>
      </c>
      <c r="C140">
        <f t="shared" si="31"/>
        <v>0.67519778130376851</v>
      </c>
      <c r="D140" s="21">
        <v>4.29911644242197E-7</v>
      </c>
      <c r="E140">
        <f t="shared" si="39"/>
        <v>0.12042118009472125</v>
      </c>
      <c r="F140">
        <f t="shared" si="32"/>
        <v>0.12831209982600295</v>
      </c>
      <c r="G140" s="22">
        <f t="shared" si="40"/>
        <v>4.2991164424219673E-7</v>
      </c>
      <c r="H140" s="21">
        <v>1.7715014100776999E-2</v>
      </c>
      <c r="I140">
        <f t="shared" si="33"/>
        <v>3.2372658655984911E-2</v>
      </c>
      <c r="J140" s="22">
        <f t="shared" si="41"/>
        <v>1.7715014100776999E-2</v>
      </c>
      <c r="K140">
        <f t="shared" si="42"/>
        <v>3.1854273039924608E-2</v>
      </c>
      <c r="L140">
        <v>2.4030919633175607E-3</v>
      </c>
      <c r="M140">
        <f t="shared" si="34"/>
        <v>3.1854273039924608E-2</v>
      </c>
      <c r="N140">
        <f t="shared" si="35"/>
        <v>1.7715014100776999E-2</v>
      </c>
      <c r="O140">
        <v>4.2991164424219673E-7</v>
      </c>
      <c r="P140">
        <f t="shared" si="36"/>
        <v>1.7714584189132757E-2</v>
      </c>
      <c r="Q140">
        <f t="shared" si="37"/>
        <v>0.98228498589922297</v>
      </c>
      <c r="R140">
        <f t="shared" si="38"/>
        <v>1</v>
      </c>
      <c r="S140">
        <v>1.0317879461812722E-3</v>
      </c>
      <c r="T140">
        <v>18.600313398589396</v>
      </c>
      <c r="U140">
        <f t="shared" si="43"/>
        <v>18.90738938624153</v>
      </c>
      <c r="V140">
        <v>8.8576274256488875E-3</v>
      </c>
      <c r="W140">
        <f t="shared" si="44"/>
        <v>9.0033520802745085E-3</v>
      </c>
    </row>
    <row r="141" spans="1:23">
      <c r="A141">
        <v>138</v>
      </c>
      <c r="B141">
        <f t="shared" si="30"/>
        <v>76.5</v>
      </c>
      <c r="C141">
        <f t="shared" si="31"/>
        <v>0.67326490594768418</v>
      </c>
      <c r="D141" s="21">
        <v>3.7807029880919299E-7</v>
      </c>
      <c r="E141">
        <f t="shared" si="39"/>
        <v>0.12058604628954506</v>
      </c>
      <c r="F141">
        <f t="shared" si="32"/>
        <v>0.12849955505353941</v>
      </c>
      <c r="G141" s="22">
        <f t="shared" si="40"/>
        <v>3.7807029880919278E-7</v>
      </c>
      <c r="H141" s="21">
        <v>1.71503097922566E-2</v>
      </c>
      <c r="I141">
        <f t="shared" si="33"/>
        <v>3.239629715939342E-2</v>
      </c>
      <c r="J141" s="22">
        <f t="shared" si="41"/>
        <v>1.71503097922566E-2</v>
      </c>
      <c r="K141">
        <f t="shared" si="42"/>
        <v>3.1877158285503748E-2</v>
      </c>
      <c r="L141">
        <v>2.4030919633175607E-3</v>
      </c>
      <c r="M141">
        <f t="shared" si="34"/>
        <v>3.1877158285503748E-2</v>
      </c>
      <c r="N141">
        <f t="shared" si="35"/>
        <v>1.71503097922566E-2</v>
      </c>
      <c r="O141">
        <v>3.7807029880919278E-7</v>
      </c>
      <c r="P141">
        <f t="shared" si="36"/>
        <v>1.7149931721957789E-2</v>
      </c>
      <c r="Q141">
        <f t="shared" si="37"/>
        <v>0.98284969020774338</v>
      </c>
      <c r="R141">
        <f t="shared" si="38"/>
        <v>1</v>
      </c>
      <c r="S141">
        <v>9.0736871714206262E-4</v>
      </c>
      <c r="T141">
        <v>18.00742830805568</v>
      </c>
      <c r="U141">
        <f t="shared" si="43"/>
        <v>18.304840431654199</v>
      </c>
      <c r="V141">
        <v>8.5752607558119663E-3</v>
      </c>
      <c r="W141">
        <f t="shared" si="44"/>
        <v>8.7164440907304269E-3</v>
      </c>
    </row>
    <row r="142" spans="1:23">
      <c r="A142">
        <v>139</v>
      </c>
      <c r="B142">
        <f t="shared" si="30"/>
        <v>76.583333333333329</v>
      </c>
      <c r="C142">
        <f t="shared" si="31"/>
        <v>0.67133756379571508</v>
      </c>
      <c r="D142" s="21">
        <v>3.3241833843397899E-7</v>
      </c>
      <c r="E142">
        <f t="shared" si="39"/>
        <v>0.12074992539483753</v>
      </c>
      <c r="F142">
        <f t="shared" si="32"/>
        <v>0.12868592277713897</v>
      </c>
      <c r="G142" s="22">
        <f t="shared" si="40"/>
        <v>3.3241833843397883E-7</v>
      </c>
      <c r="H142" s="21">
        <v>1.6603216733183102E-2</v>
      </c>
      <c r="I142">
        <f t="shared" si="33"/>
        <v>3.24197814400667E-2</v>
      </c>
      <c r="J142" s="22">
        <f t="shared" si="41"/>
        <v>1.6603216733183102E-2</v>
      </c>
      <c r="K142">
        <f t="shared" si="42"/>
        <v>3.189989368708146E-2</v>
      </c>
      <c r="L142">
        <v>2.4030919633175607E-3</v>
      </c>
      <c r="M142">
        <f t="shared" si="34"/>
        <v>3.189989368708146E-2</v>
      </c>
      <c r="N142">
        <f t="shared" si="35"/>
        <v>1.6603216733183102E-2</v>
      </c>
      <c r="O142">
        <v>3.3241833843397883E-7</v>
      </c>
      <c r="P142">
        <f t="shared" si="36"/>
        <v>1.6602884314844666E-2</v>
      </c>
      <c r="Q142">
        <f t="shared" si="37"/>
        <v>0.9833967832668169</v>
      </c>
      <c r="R142">
        <f t="shared" si="38"/>
        <v>1</v>
      </c>
      <c r="S142">
        <v>7.9780401224154919E-4</v>
      </c>
      <c r="T142">
        <v>17.433028530586899</v>
      </c>
      <c r="U142">
        <f t="shared" si="43"/>
        <v>17.721081005685981</v>
      </c>
      <c r="V142">
        <v>8.3017014437263108E-3</v>
      </c>
      <c r="W142">
        <f t="shared" si="44"/>
        <v>8.4384810997691385E-3</v>
      </c>
    </row>
    <row r="143" spans="1:23">
      <c r="A143">
        <v>140</v>
      </c>
      <c r="B143">
        <f t="shared" si="30"/>
        <v>76.666666666666671</v>
      </c>
      <c r="C143">
        <f t="shared" si="31"/>
        <v>0.66941573900806706</v>
      </c>
      <c r="D143" s="21">
        <v>2.92224696276939E-7</v>
      </c>
      <c r="E143">
        <f t="shared" si="39"/>
        <v>0.12091283034020328</v>
      </c>
      <c r="F143">
        <f t="shared" si="32"/>
        <v>0.12887121709011926</v>
      </c>
      <c r="G143" s="22">
        <f t="shared" si="40"/>
        <v>2.9222469627693885E-7</v>
      </c>
      <c r="H143" s="21">
        <v>1.60732008575519E-2</v>
      </c>
      <c r="I143">
        <f t="shared" si="33"/>
        <v>3.2443113606903454E-2</v>
      </c>
      <c r="J143" s="22">
        <f t="shared" si="41"/>
        <v>1.60732008575519E-2</v>
      </c>
      <c r="K143">
        <f t="shared" si="42"/>
        <v>3.1922481296766669E-2</v>
      </c>
      <c r="L143">
        <v>2.4030919633175607E-3</v>
      </c>
      <c r="M143">
        <f t="shared" si="34"/>
        <v>3.1922481296766669E-2</v>
      </c>
      <c r="N143">
        <f t="shared" si="35"/>
        <v>1.60732008575519E-2</v>
      </c>
      <c r="O143">
        <v>2.9222469627693885E-7</v>
      </c>
      <c r="P143">
        <f t="shared" si="36"/>
        <v>1.6072908632855622E-2</v>
      </c>
      <c r="Q143">
        <f t="shared" si="37"/>
        <v>0.98392679914244807</v>
      </c>
      <c r="R143">
        <f t="shared" si="38"/>
        <v>1</v>
      </c>
      <c r="S143">
        <v>7.0133927106465319E-4</v>
      </c>
      <c r="T143">
        <v>16.876554064498404</v>
      </c>
      <c r="U143">
        <f t="shared" si="43"/>
        <v>17.155540869184303</v>
      </c>
      <c r="V143">
        <v>8.0366822516909076E-3</v>
      </c>
      <c r="W143">
        <f t="shared" si="44"/>
        <v>8.1691918477086092E-3</v>
      </c>
    </row>
    <row r="144" spans="1:23">
      <c r="A144">
        <v>141</v>
      </c>
      <c r="B144">
        <f t="shared" si="30"/>
        <v>76.75</v>
      </c>
      <c r="C144">
        <f t="shared" si="31"/>
        <v>0.66749941579029026</v>
      </c>
      <c r="D144" s="21">
        <v>2.56843657277943E-7</v>
      </c>
      <c r="E144">
        <f t="shared" si="39"/>
        <v>0.12107477379483933</v>
      </c>
      <c r="F144">
        <f t="shared" si="32"/>
        <v>0.12905545180367989</v>
      </c>
      <c r="G144" s="22">
        <f t="shared" si="40"/>
        <v>2.5684365727794284E-7</v>
      </c>
      <c r="H144" s="21">
        <v>1.55597436917992E-2</v>
      </c>
      <c r="I144">
        <f t="shared" si="33"/>
        <v>3.2466295725095885E-2</v>
      </c>
      <c r="J144" s="22">
        <f t="shared" si="41"/>
        <v>1.55597436917992E-2</v>
      </c>
      <c r="K144">
        <f t="shared" si="42"/>
        <v>3.1944923124099134E-2</v>
      </c>
      <c r="L144">
        <v>2.4030919633175607E-3</v>
      </c>
      <c r="M144">
        <f t="shared" si="34"/>
        <v>3.1944923124099134E-2</v>
      </c>
      <c r="N144">
        <f t="shared" si="35"/>
        <v>1.55597436917992E-2</v>
      </c>
      <c r="O144">
        <v>2.5684365727794284E-7</v>
      </c>
      <c r="P144">
        <f t="shared" si="36"/>
        <v>1.5559486848141922E-2</v>
      </c>
      <c r="Q144">
        <f t="shared" si="37"/>
        <v>0.98444025630820076</v>
      </c>
      <c r="R144">
        <f t="shared" si="38"/>
        <v>1</v>
      </c>
      <c r="S144">
        <v>6.1642477746706281E-4</v>
      </c>
      <c r="T144">
        <v>16.337461190549018</v>
      </c>
      <c r="U144">
        <f t="shared" si="43"/>
        <v>16.607666509547975</v>
      </c>
      <c r="V144">
        <v>7.7799437621236377E-3</v>
      </c>
      <c r="W144">
        <f t="shared" si="44"/>
        <v>7.9083130069072735E-3</v>
      </c>
    </row>
    <row r="145" spans="1:23">
      <c r="A145">
        <v>142</v>
      </c>
      <c r="B145">
        <f t="shared" si="30"/>
        <v>76.833333333333329</v>
      </c>
      <c r="C145">
        <f t="shared" si="31"/>
        <v>0.66558857839314933</v>
      </c>
      <c r="D145" s="21">
        <v>2.25705019187062E-7</v>
      </c>
      <c r="E145">
        <f t="shared" si="39"/>
        <v>0.12123576817466186</v>
      </c>
      <c r="F145">
        <f t="shared" si="32"/>
        <v>0.12923864045459568</v>
      </c>
      <c r="G145" s="22">
        <f t="shared" si="40"/>
        <v>2.2570501918706186E-7</v>
      </c>
      <c r="H145" s="21">
        <v>1.5062341924364901E-2</v>
      </c>
      <c r="I145">
        <f t="shared" si="33"/>
        <v>3.2489329817336682E-2</v>
      </c>
      <c r="J145" s="22">
        <f t="shared" si="41"/>
        <v>1.5062341924364901E-2</v>
      </c>
      <c r="K145">
        <f t="shared" si="42"/>
        <v>3.1967221137225832E-2</v>
      </c>
      <c r="L145">
        <v>2.4030919633175607E-3</v>
      </c>
      <c r="M145">
        <f t="shared" si="34"/>
        <v>3.1967221137225832E-2</v>
      </c>
      <c r="N145">
        <f t="shared" si="35"/>
        <v>1.5062341924364901E-2</v>
      </c>
      <c r="O145">
        <v>2.2570501918706186E-7</v>
      </c>
      <c r="P145">
        <f t="shared" si="36"/>
        <v>1.5062116219345714E-2</v>
      </c>
      <c r="Q145">
        <f t="shared" si="37"/>
        <v>0.98493765807563505</v>
      </c>
      <c r="R145">
        <f t="shared" si="38"/>
        <v>1</v>
      </c>
      <c r="S145">
        <v>5.4169204604894848E-4</v>
      </c>
      <c r="T145">
        <v>15.815222030312999</v>
      </c>
      <c r="U145">
        <f t="shared" si="43"/>
        <v>16.076920668842767</v>
      </c>
      <c r="V145">
        <v>7.5312341595878225E-3</v>
      </c>
      <c r="W145">
        <f t="shared" si="44"/>
        <v>7.6555889608557297E-3</v>
      </c>
    </row>
    <row r="146" spans="1:23">
      <c r="A146">
        <v>143</v>
      </c>
      <c r="B146">
        <f t="shared" si="30"/>
        <v>76.916666666666671</v>
      </c>
      <c r="C146">
        <f t="shared" si="31"/>
        <v>0.66368321111249373</v>
      </c>
      <c r="D146" s="21">
        <v>1.98305372029715E-7</v>
      </c>
      <c r="E146">
        <f t="shared" si="39"/>
        <v>0.12139582564904527</v>
      </c>
      <c r="F146">
        <f t="shared" si="32"/>
        <v>0.12942079631248349</v>
      </c>
      <c r="G146" s="22">
        <f t="shared" si="40"/>
        <v>1.983053720297149E-7</v>
      </c>
      <c r="H146" s="21">
        <v>1.4580506986065901E-2</v>
      </c>
      <c r="I146">
        <f t="shared" si="33"/>
        <v>3.2512217865023674E-2</v>
      </c>
      <c r="J146" s="22">
        <f t="shared" si="41"/>
        <v>1.4580506986065901E-2</v>
      </c>
      <c r="K146">
        <f t="shared" si="42"/>
        <v>3.1989377264074803E-2</v>
      </c>
      <c r="L146">
        <v>2.4030919633175607E-3</v>
      </c>
      <c r="M146">
        <f t="shared" si="34"/>
        <v>3.1989377264074803E-2</v>
      </c>
      <c r="N146">
        <f t="shared" si="35"/>
        <v>1.4580506986065901E-2</v>
      </c>
      <c r="O146">
        <v>1.983053720297149E-7</v>
      </c>
      <c r="P146">
        <f t="shared" si="36"/>
        <v>1.4580308680693871E-2</v>
      </c>
      <c r="Q146">
        <f t="shared" si="37"/>
        <v>0.98541949301393406</v>
      </c>
      <c r="R146">
        <f t="shared" si="38"/>
        <v>1</v>
      </c>
      <c r="S146">
        <v>4.7593289287131577E-4</v>
      </c>
      <c r="T146">
        <v>15.309324114728565</v>
      </c>
      <c r="U146">
        <f t="shared" si="43"/>
        <v>15.562781884990242</v>
      </c>
      <c r="V146">
        <v>7.2903090185371189E-3</v>
      </c>
      <c r="W146">
        <f t="shared" si="44"/>
        <v>7.4107715890624707E-3</v>
      </c>
    </row>
    <row r="147" spans="1:23">
      <c r="A147">
        <v>144</v>
      </c>
      <c r="B147">
        <f t="shared" si="30"/>
        <v>77</v>
      </c>
      <c r="C147">
        <f t="shared" si="31"/>
        <v>0.6617832982891293</v>
      </c>
      <c r="D147" s="21">
        <v>1.7420037083222401E-7</v>
      </c>
      <c r="E147">
        <f t="shared" si="39"/>
        <v>0.12155495814747264</v>
      </c>
      <c r="F147">
        <f t="shared" si="32"/>
        <v>0.12960193238698264</v>
      </c>
      <c r="G147" s="22">
        <f t="shared" si="40"/>
        <v>1.742003708322239E-7</v>
      </c>
      <c r="H147" s="21">
        <v>1.41137646410599E-2</v>
      </c>
      <c r="I147">
        <f t="shared" si="33"/>
        <v>3.253496180931939E-2</v>
      </c>
      <c r="J147" s="22">
        <f t="shared" si="41"/>
        <v>1.41137646410599E-2</v>
      </c>
      <c r="K147">
        <f t="shared" si="42"/>
        <v>3.201139339338821E-2</v>
      </c>
      <c r="L147">
        <v>2.6763805438883015E-3</v>
      </c>
      <c r="M147">
        <f t="shared" si="34"/>
        <v>3.201139339338821E-2</v>
      </c>
      <c r="N147">
        <f t="shared" si="35"/>
        <v>1.41137646410599E-2</v>
      </c>
      <c r="O147">
        <v>1.742003708322239E-7</v>
      </c>
      <c r="P147">
        <f t="shared" si="36"/>
        <v>1.4113590440689069E-2</v>
      </c>
      <c r="Q147">
        <f t="shared" si="37"/>
        <v>0.98588623535894016</v>
      </c>
      <c r="R147">
        <f t="shared" si="38"/>
        <v>1</v>
      </c>
      <c r="S147">
        <v>4.1808088999733737E-4</v>
      </c>
      <c r="T147">
        <v>14.819269962723522</v>
      </c>
      <c r="U147">
        <f t="shared" si="43"/>
        <v>15.064744045617477</v>
      </c>
      <c r="V147">
        <v>7.0569310966337841E-3</v>
      </c>
      <c r="W147">
        <f t="shared" si="44"/>
        <v>7.1736200575854515E-3</v>
      </c>
    </row>
    <row r="148" spans="1:23">
      <c r="A148">
        <v>145</v>
      </c>
      <c r="B148">
        <f t="shared" si="30"/>
        <v>77.083333333333329</v>
      </c>
      <c r="C148">
        <f t="shared" si="31"/>
        <v>0.65988882430868834</v>
      </c>
      <c r="D148" s="21">
        <v>1.5299789019992799E-7</v>
      </c>
      <c r="E148">
        <f t="shared" si="39"/>
        <v>0.12171317736583098</v>
      </c>
      <c r="F148">
        <f t="shared" si="32"/>
        <v>0.1297820614345449</v>
      </c>
      <c r="G148" s="22">
        <f t="shared" si="40"/>
        <v>1.5299789019992792E-7</v>
      </c>
      <c r="H148" s="21">
        <v>1.36616545881781E-2</v>
      </c>
      <c r="I148">
        <f t="shared" si="33"/>
        <v>3.2557563552297789E-2</v>
      </c>
      <c r="J148" s="22">
        <f t="shared" si="41"/>
        <v>1.36616545881781E-2</v>
      </c>
      <c r="K148">
        <f t="shared" si="42"/>
        <v>3.2033271375839556E-2</v>
      </c>
      <c r="L148">
        <v>2.6763805438883015E-3</v>
      </c>
      <c r="M148">
        <f t="shared" si="34"/>
        <v>3.2033271375839556E-2</v>
      </c>
      <c r="N148">
        <f t="shared" si="35"/>
        <v>1.36616545881781E-2</v>
      </c>
      <c r="O148">
        <v>1.5299789019992792E-7</v>
      </c>
      <c r="P148">
        <f t="shared" si="36"/>
        <v>1.3661501590287901E-2</v>
      </c>
      <c r="Q148">
        <f t="shared" si="37"/>
        <v>0.98633834541182186</v>
      </c>
      <c r="R148">
        <f t="shared" si="38"/>
        <v>1</v>
      </c>
      <c r="S148">
        <v>3.67194936479827E-4</v>
      </c>
      <c r="T148">
        <v>14.344576669802297</v>
      </c>
      <c r="U148">
        <f t="shared" si="43"/>
        <v>14.582315954176149</v>
      </c>
      <c r="V148">
        <v>6.8308701334983063E-3</v>
      </c>
      <c r="W148">
        <f t="shared" si="44"/>
        <v>6.9439006150660452E-3</v>
      </c>
    </row>
    <row r="149" spans="1:23">
      <c r="A149">
        <v>146</v>
      </c>
      <c r="B149">
        <f t="shared" si="30"/>
        <v>77.166666666666671</v>
      </c>
      <c r="C149">
        <f t="shared" si="31"/>
        <v>0.65799977360150319</v>
      </c>
      <c r="D149" s="21">
        <v>1.34351961622097E-7</v>
      </c>
      <c r="E149">
        <f t="shared" si="39"/>
        <v>0.12187049477261203</v>
      </c>
      <c r="F149">
        <f t="shared" si="32"/>
        <v>0.12996119596513001</v>
      </c>
      <c r="G149" s="22">
        <f t="shared" si="40"/>
        <v>1.3435196162209694E-7</v>
      </c>
      <c r="H149" s="21">
        <v>1.32237300724104E-2</v>
      </c>
      <c r="I149">
        <f t="shared" si="33"/>
        <v>3.2580024957980867E-2</v>
      </c>
      <c r="J149" s="22">
        <f t="shared" si="41"/>
        <v>1.32237300724104E-2</v>
      </c>
      <c r="K149">
        <f t="shared" si="42"/>
        <v>3.2055013025043988E-2</v>
      </c>
      <c r="L149">
        <v>2.6763805438883015E-3</v>
      </c>
      <c r="M149">
        <f t="shared" si="34"/>
        <v>3.2055013025043988E-2</v>
      </c>
      <c r="N149">
        <f t="shared" si="35"/>
        <v>1.32237300724104E-2</v>
      </c>
      <c r="O149">
        <v>1.3435196162209694E-7</v>
      </c>
      <c r="P149">
        <f t="shared" si="36"/>
        <v>1.3223595720448778E-2</v>
      </c>
      <c r="Q149">
        <f t="shared" si="37"/>
        <v>0.9867762699275896</v>
      </c>
      <c r="R149">
        <f t="shared" si="38"/>
        <v>1</v>
      </c>
      <c r="S149">
        <v>3.2244470789303268E-4</v>
      </c>
      <c r="T149">
        <v>13.884775506471216</v>
      </c>
      <c r="U149">
        <f t="shared" si="43"/>
        <v>14.115020907958943</v>
      </c>
      <c r="V149">
        <v>6.611902654754454E-3</v>
      </c>
      <c r="W149">
        <f t="shared" si="44"/>
        <v>6.7213863941263802E-3</v>
      </c>
    </row>
    <row r="150" spans="1:23">
      <c r="A150">
        <v>147</v>
      </c>
      <c r="B150">
        <f t="shared" si="30"/>
        <v>77.25</v>
      </c>
      <c r="C150">
        <f t="shared" si="31"/>
        <v>0.6561161306424762</v>
      </c>
      <c r="D150" s="21">
        <v>1.17957405332436E-7</v>
      </c>
      <c r="E150">
        <f t="shared" si="39"/>
        <v>0.12202692161485018</v>
      </c>
      <c r="F150">
        <f t="shared" si="32"/>
        <v>0.13013934824861459</v>
      </c>
      <c r="G150" s="22">
        <f t="shared" si="40"/>
        <v>1.1795740533243596E-7</v>
      </c>
      <c r="H150" s="21">
        <v>1.27995575063278E-2</v>
      </c>
      <c r="I150">
        <f t="shared" si="33"/>
        <v>3.2602347853328537E-2</v>
      </c>
      <c r="J150" s="22">
        <f t="shared" si="41"/>
        <v>1.27995575063278E-2</v>
      </c>
      <c r="K150">
        <f t="shared" si="42"/>
        <v>3.2076620118523191E-2</v>
      </c>
      <c r="L150">
        <v>2.6763805438883015E-3</v>
      </c>
      <c r="M150">
        <f t="shared" si="34"/>
        <v>3.2076620118523191E-2</v>
      </c>
      <c r="N150">
        <f t="shared" si="35"/>
        <v>1.27995575063278E-2</v>
      </c>
      <c r="O150">
        <v>1.1795740533243596E-7</v>
      </c>
      <c r="P150">
        <f t="shared" si="36"/>
        <v>1.2799439548922468E-2</v>
      </c>
      <c r="Q150">
        <f t="shared" si="37"/>
        <v>0.98720044249367223</v>
      </c>
      <c r="R150">
        <f t="shared" si="38"/>
        <v>1</v>
      </c>
      <c r="S150">
        <v>2.8309777279784634E-4</v>
      </c>
      <c r="T150">
        <v>13.439411526368591</v>
      </c>
      <c r="U150">
        <f t="shared" si="43"/>
        <v>13.662396287660249</v>
      </c>
      <c r="V150">
        <v>6.3998117812373934E-3</v>
      </c>
      <c r="W150">
        <f t="shared" si="44"/>
        <v>6.5058572179959237E-3</v>
      </c>
    </row>
    <row r="151" spans="1:23">
      <c r="A151">
        <v>148</v>
      </c>
      <c r="B151">
        <f t="shared" si="30"/>
        <v>77.333333333333329</v>
      </c>
      <c r="C151">
        <f t="shared" si="31"/>
        <v>0.65423787995095362</v>
      </c>
      <c r="D151" s="21">
        <v>1.03545078321066E-7</v>
      </c>
      <c r="E151">
        <f t="shared" si="39"/>
        <v>0.12218246892386408</v>
      </c>
      <c r="F151">
        <f t="shared" si="32"/>
        <v>0.13031653032099003</v>
      </c>
      <c r="G151" s="22">
        <f t="shared" si="40"/>
        <v>1.0354507832106597E-7</v>
      </c>
      <c r="H151" s="21">
        <v>1.2388716101227701E-2</v>
      </c>
      <c r="I151">
        <f t="shared" si="33"/>
        <v>3.2624534029291913E-2</v>
      </c>
      <c r="J151" s="22">
        <f t="shared" si="41"/>
        <v>1.2388716101227701E-2</v>
      </c>
      <c r="K151">
        <f t="shared" si="42"/>
        <v>3.2098094398731347E-2</v>
      </c>
      <c r="L151">
        <v>2.6763805438883015E-3</v>
      </c>
      <c r="M151">
        <f t="shared" si="34"/>
        <v>3.2098094398731347E-2</v>
      </c>
      <c r="N151">
        <f t="shared" si="35"/>
        <v>1.2388716101227701E-2</v>
      </c>
      <c r="O151">
        <v>1.0354507832106597E-7</v>
      </c>
      <c r="P151">
        <f t="shared" si="36"/>
        <v>1.238861255614938E-2</v>
      </c>
      <c r="Q151">
        <f t="shared" si="37"/>
        <v>0.98761128389877229</v>
      </c>
      <c r="R151">
        <f t="shared" si="38"/>
        <v>1</v>
      </c>
      <c r="S151">
        <v>2.4850818797055832E-4</v>
      </c>
      <c r="T151">
        <v>13.008043183956849</v>
      </c>
      <c r="U151">
        <f t="shared" si="43"/>
        <v>13.223993158143104</v>
      </c>
      <c r="V151">
        <v>6.1943870432357804E-3</v>
      </c>
      <c r="W151">
        <f t="shared" si="44"/>
        <v>6.2970994122365873E-3</v>
      </c>
    </row>
    <row r="152" spans="1:23">
      <c r="A152">
        <v>149</v>
      </c>
      <c r="B152">
        <f t="shared" si="30"/>
        <v>77.416666666666671</v>
      </c>
      <c r="C152">
        <f t="shared" si="31"/>
        <v>0.65236500609059778</v>
      </c>
      <c r="D152" s="21">
        <v>9.0877668799445804E-8</v>
      </c>
      <c r="E152">
        <f t="shared" si="39"/>
        <v>0.12233714752083047</v>
      </c>
      <c r="F152">
        <f t="shared" si="32"/>
        <v>0.13049275399038063</v>
      </c>
      <c r="G152" s="22">
        <f t="shared" si="40"/>
        <v>9.0877668799445778E-8</v>
      </c>
      <c r="H152" s="21">
        <v>1.19907975077939E-2</v>
      </c>
      <c r="I152">
        <f t="shared" si="33"/>
        <v>3.2646585241650351E-2</v>
      </c>
      <c r="J152" s="22">
        <f t="shared" si="41"/>
        <v>1.19907975077939E-2</v>
      </c>
      <c r="K152">
        <f t="shared" si="42"/>
        <v>3.211943757387159E-2</v>
      </c>
      <c r="L152">
        <v>2.6763805438883015E-3</v>
      </c>
      <c r="M152">
        <f t="shared" si="34"/>
        <v>3.211943757387159E-2</v>
      </c>
      <c r="N152">
        <f t="shared" si="35"/>
        <v>1.19907975077939E-2</v>
      </c>
      <c r="O152">
        <v>9.0877668799445778E-8</v>
      </c>
      <c r="P152">
        <f t="shared" si="36"/>
        <v>1.19907066301251E-2</v>
      </c>
      <c r="Q152">
        <f t="shared" si="37"/>
        <v>0.98800920249220614</v>
      </c>
      <c r="R152">
        <f t="shared" si="38"/>
        <v>1</v>
      </c>
      <c r="S152">
        <v>2.1810640511866987E-4</v>
      </c>
      <c r="T152">
        <v>12.590241961631355</v>
      </c>
      <c r="U152">
        <f t="shared" si="43"/>
        <v>12.799375880090647</v>
      </c>
      <c r="V152">
        <v>5.9954241996442136E-3</v>
      </c>
      <c r="W152">
        <f t="shared" si="44"/>
        <v>6.094905621439997E-3</v>
      </c>
    </row>
    <row r="153" spans="1:23">
      <c r="A153">
        <v>150</v>
      </c>
      <c r="B153">
        <f t="shared" si="30"/>
        <v>77.5</v>
      </c>
      <c r="C153">
        <f t="shared" si="31"/>
        <v>0.65049749366926013</v>
      </c>
      <c r="D153" s="21">
        <v>7.9745975176605E-8</v>
      </c>
      <c r="E153">
        <f t="shared" si="39"/>
        <v>0.12249096802215387</v>
      </c>
      <c r="F153">
        <f t="shared" si="32"/>
        <v>0.1306680308428409</v>
      </c>
      <c r="G153" s="22">
        <f t="shared" si="40"/>
        <v>7.9745975176604973E-8</v>
      </c>
      <c r="H153" s="21">
        <v>1.1605405466060099E-2</v>
      </c>
      <c r="I153">
        <f t="shared" si="33"/>
        <v>3.2668503212065068E-2</v>
      </c>
      <c r="J153" s="22">
        <f t="shared" si="41"/>
        <v>1.1605405466060099E-2</v>
      </c>
      <c r="K153">
        <f t="shared" si="42"/>
        <v>3.2140651318921853E-2</v>
      </c>
      <c r="L153">
        <v>2.6763805438883015E-3</v>
      </c>
      <c r="M153">
        <f t="shared" si="34"/>
        <v>3.2140651318921853E-2</v>
      </c>
      <c r="N153">
        <f t="shared" si="35"/>
        <v>1.1605405466060099E-2</v>
      </c>
      <c r="O153">
        <v>7.9745975176604973E-8</v>
      </c>
      <c r="P153">
        <f t="shared" si="36"/>
        <v>1.1605325720084924E-2</v>
      </c>
      <c r="Q153">
        <f t="shared" si="37"/>
        <v>0.98839459453393985</v>
      </c>
      <c r="R153">
        <f t="shared" si="38"/>
        <v>1</v>
      </c>
      <c r="S153">
        <v>1.9139034042385195E-4</v>
      </c>
      <c r="T153">
        <v>12.18559200608917</v>
      </c>
      <c r="U153">
        <f t="shared" si="43"/>
        <v>12.388121732233033</v>
      </c>
      <c r="V153">
        <v>5.8027250619030997E-3</v>
      </c>
      <c r="W153">
        <f t="shared" si="44"/>
        <v>5.8990746307736562E-3</v>
      </c>
    </row>
    <row r="154" spans="1:23">
      <c r="A154">
        <v>151</v>
      </c>
      <c r="B154">
        <f t="shared" si="30"/>
        <v>77.583333333333329</v>
      </c>
      <c r="C154">
        <f t="shared" si="31"/>
        <v>0.64863532733885498</v>
      </c>
      <c r="D154" s="21">
        <v>6.99656145144413E-8</v>
      </c>
      <c r="E154">
        <f t="shared" si="39"/>
        <v>0.12264394084471553</v>
      </c>
      <c r="F154">
        <f t="shared" si="32"/>
        <v>0.13084237224802592</v>
      </c>
      <c r="G154" s="22">
        <f t="shared" si="40"/>
        <v>6.9965614514441274E-8</v>
      </c>
      <c r="H154" s="21">
        <v>1.1232155464474701E-2</v>
      </c>
      <c r="I154">
        <f t="shared" si="33"/>
        <v>3.2690289628852613E-2</v>
      </c>
      <c r="J154" s="22">
        <f t="shared" si="41"/>
        <v>1.1232155464474701E-2</v>
      </c>
      <c r="K154">
        <f t="shared" si="42"/>
        <v>3.2161737276389379E-2</v>
      </c>
      <c r="L154">
        <v>2.6763805438883015E-3</v>
      </c>
      <c r="M154">
        <f t="shared" si="34"/>
        <v>3.2161737276389379E-2</v>
      </c>
      <c r="N154">
        <f t="shared" si="35"/>
        <v>1.1232155464474701E-2</v>
      </c>
      <c r="O154">
        <v>6.9965614514441274E-8</v>
      </c>
      <c r="P154">
        <f t="shared" si="36"/>
        <v>1.1232085498860187E-2</v>
      </c>
      <c r="Q154">
        <f t="shared" si="37"/>
        <v>0.98876784453552535</v>
      </c>
      <c r="R154">
        <f t="shared" si="38"/>
        <v>1</v>
      </c>
      <c r="S154">
        <v>1.6791747483465904E-4</v>
      </c>
      <c r="T154">
        <v>11.793689773803196</v>
      </c>
      <c r="U154">
        <f t="shared" si="43"/>
        <v>11.989820543853813</v>
      </c>
      <c r="V154">
        <v>5.6160973226094145E-3</v>
      </c>
      <c r="W154">
        <f t="shared" si="44"/>
        <v>5.7094111922562571E-3</v>
      </c>
    </row>
    <row r="155" spans="1:23">
      <c r="A155">
        <v>152</v>
      </c>
      <c r="B155">
        <f t="shared" si="30"/>
        <v>77.666666666666671</v>
      </c>
      <c r="C155">
        <f t="shared" si="31"/>
        <v>0.64677849179523395</v>
      </c>
      <c r="D155" s="21">
        <v>6.1374111582384395E-8</v>
      </c>
      <c r="E155">
        <f t="shared" si="39"/>
        <v>0.12279607621088739</v>
      </c>
      <c r="F155">
        <f t="shared" si="32"/>
        <v>0.13101578936460442</v>
      </c>
      <c r="G155" s="22">
        <f t="shared" si="40"/>
        <v>6.1374111582384368E-8</v>
      </c>
      <c r="H155" s="21">
        <v>1.0870674407862E-2</v>
      </c>
      <c r="I155">
        <f t="shared" si="33"/>
        <v>3.2711946147910592E-2</v>
      </c>
      <c r="J155" s="22">
        <f t="shared" si="41"/>
        <v>1.0870674407862E-2</v>
      </c>
      <c r="K155">
        <f t="shared" si="42"/>
        <v>3.2182697057212328E-2</v>
      </c>
      <c r="L155">
        <v>2.6763805438883015E-3</v>
      </c>
      <c r="M155">
        <f t="shared" si="34"/>
        <v>3.2182697057212328E-2</v>
      </c>
      <c r="N155">
        <f t="shared" si="35"/>
        <v>1.0870674407862E-2</v>
      </c>
      <c r="O155">
        <v>6.1374111582384368E-8</v>
      </c>
      <c r="P155">
        <f t="shared" si="36"/>
        <v>1.0870613033750417E-2</v>
      </c>
      <c r="Q155">
        <f t="shared" si="37"/>
        <v>0.98912932559213795</v>
      </c>
      <c r="R155">
        <f t="shared" si="38"/>
        <v>1</v>
      </c>
      <c r="S155">
        <v>1.4729786779772247E-4</v>
      </c>
      <c r="T155">
        <v>11.414143685437939</v>
      </c>
      <c r="U155">
        <f t="shared" si="43"/>
        <v>11.604074337291884</v>
      </c>
      <c r="V155">
        <v>5.4353543886822425E-3</v>
      </c>
      <c r="W155">
        <f t="shared" si="44"/>
        <v>5.5257258556458289E-3</v>
      </c>
    </row>
    <row r="156" spans="1:23">
      <c r="A156">
        <v>153</v>
      </c>
      <c r="B156">
        <f t="shared" si="30"/>
        <v>77.75</v>
      </c>
      <c r="C156">
        <f t="shared" si="31"/>
        <v>0.64492697177805824</v>
      </c>
      <c r="D156" s="21">
        <v>5.3828325108589602E-8</v>
      </c>
      <c r="E156">
        <f t="shared" si="39"/>
        <v>0.12294738415342843</v>
      </c>
      <c r="F156">
        <f t="shared" si="32"/>
        <v>0.1311882931455482</v>
      </c>
      <c r="G156" s="22">
        <f t="shared" si="40"/>
        <v>5.3828325108589576E-8</v>
      </c>
      <c r="H156" s="21">
        <v>1.05206002940809E-2</v>
      </c>
      <c r="I156">
        <f t="shared" si="33"/>
        <v>3.2733474393540178E-2</v>
      </c>
      <c r="J156" s="22">
        <f t="shared" si="41"/>
        <v>1.05206002940809E-2</v>
      </c>
      <c r="K156">
        <f t="shared" si="42"/>
        <v>3.2203532241561361E-2</v>
      </c>
      <c r="L156">
        <v>2.6763805438883015E-3</v>
      </c>
      <c r="M156">
        <f t="shared" si="34"/>
        <v>3.2203532241561361E-2</v>
      </c>
      <c r="N156">
        <f t="shared" si="35"/>
        <v>1.05206002940809E-2</v>
      </c>
      <c r="O156">
        <v>5.3828325108589576E-8</v>
      </c>
      <c r="P156">
        <f t="shared" si="36"/>
        <v>1.0520546465755792E-2</v>
      </c>
      <c r="Q156">
        <f t="shared" si="37"/>
        <v>0.98947939970591914</v>
      </c>
      <c r="R156">
        <f t="shared" si="38"/>
        <v>1</v>
      </c>
      <c r="S156">
        <v>1.2918798026061498E-4</v>
      </c>
      <c r="T156">
        <v>11.046573789043581</v>
      </c>
      <c r="U156">
        <f t="shared" si="43"/>
        <v>11.230496980164789</v>
      </c>
      <c r="V156">
        <v>5.2603152189714805E-3</v>
      </c>
      <c r="W156">
        <f t="shared" si="44"/>
        <v>5.3478348038268619E-3</v>
      </c>
    </row>
    <row r="157" spans="1:23">
      <c r="A157">
        <v>154</v>
      </c>
      <c r="B157">
        <f t="shared" si="30"/>
        <v>77.833333333333329</v>
      </c>
      <c r="C157">
        <f t="shared" si="31"/>
        <v>0.64308075207067572</v>
      </c>
      <c r="D157" s="21">
        <v>4.7202172698738803E-8</v>
      </c>
      <c r="E157">
        <f t="shared" si="39"/>
        <v>0.12309787452022058</v>
      </c>
      <c r="F157">
        <f t="shared" si="32"/>
        <v>0.13135989434324802</v>
      </c>
      <c r="G157" s="22">
        <f t="shared" si="40"/>
        <v>4.7202172698738776E-8</v>
      </c>
      <c r="H157" s="21">
        <v>1.01815818991845E-2</v>
      </c>
      <c r="I157">
        <f t="shared" si="33"/>
        <v>3.2754875959211185E-2</v>
      </c>
      <c r="J157" s="22">
        <f t="shared" si="41"/>
        <v>1.01815818991845E-2</v>
      </c>
      <c r="K157">
        <f t="shared" si="42"/>
        <v>3.2224244379585376E-2</v>
      </c>
      <c r="L157">
        <v>2.6763805438883015E-3</v>
      </c>
      <c r="M157">
        <f t="shared" si="34"/>
        <v>3.2224244379585376E-2</v>
      </c>
      <c r="N157">
        <f t="shared" si="35"/>
        <v>1.01815818991845E-2</v>
      </c>
      <c r="O157">
        <v>4.7202172698738776E-8</v>
      </c>
      <c r="P157">
        <f t="shared" si="36"/>
        <v>1.0181534697011801E-2</v>
      </c>
      <c r="Q157">
        <f t="shared" si="37"/>
        <v>0.9898184181008155</v>
      </c>
      <c r="R157">
        <f t="shared" si="38"/>
        <v>1</v>
      </c>
      <c r="S157">
        <v>1.1328521447697306E-4</v>
      </c>
      <c r="T157">
        <v>10.690611431862392</v>
      </c>
      <c r="U157">
        <f t="shared" si="43"/>
        <v>10.868713847050355</v>
      </c>
      <c r="V157">
        <v>5.0908041662006054E-3</v>
      </c>
      <c r="W157">
        <f t="shared" si="44"/>
        <v>5.1755596925860429E-3</v>
      </c>
    </row>
    <row r="158" spans="1:23">
      <c r="A158">
        <v>155</v>
      </c>
      <c r="B158">
        <f t="shared" si="30"/>
        <v>77.916666666666671</v>
      </c>
      <c r="C158">
        <f t="shared" si="31"/>
        <v>0.64123981749999415</v>
      </c>
      <c r="D158" s="21">
        <v>4.1384620229525303E-8</v>
      </c>
      <c r="E158">
        <f t="shared" si="39"/>
        <v>0.12324755697885359</v>
      </c>
      <c r="F158">
        <f t="shared" si="32"/>
        <v>0.13153060351446691</v>
      </c>
      <c r="G158" s="22">
        <f t="shared" si="40"/>
        <v>4.1384620229525283E-8</v>
      </c>
      <c r="H158" s="21">
        <v>9.8532784708852197E-3</v>
      </c>
      <c r="I158">
        <f t="shared" si="33"/>
        <v>3.277615240842268E-2</v>
      </c>
      <c r="J158" s="22">
        <f t="shared" si="41"/>
        <v>9.8532784708852197E-3</v>
      </c>
      <c r="K158">
        <f t="shared" si="42"/>
        <v>3.2244834992249616E-2</v>
      </c>
      <c r="L158">
        <v>2.6763805438883015E-3</v>
      </c>
      <c r="M158">
        <f t="shared" si="34"/>
        <v>3.2244834992249616E-2</v>
      </c>
      <c r="N158">
        <f t="shared" si="35"/>
        <v>9.8532784708852197E-3</v>
      </c>
      <c r="O158">
        <v>4.1384620229525283E-8</v>
      </c>
      <c r="P158">
        <f t="shared" si="36"/>
        <v>9.8532370862649907E-3</v>
      </c>
      <c r="Q158">
        <f t="shared" si="37"/>
        <v>0.99014672152911476</v>
      </c>
      <c r="R158">
        <f t="shared" si="38"/>
        <v>1</v>
      </c>
      <c r="S158">
        <v>9.9323088550860679E-5</v>
      </c>
      <c r="T158">
        <v>10.345898940578241</v>
      </c>
      <c r="U158">
        <f t="shared" si="43"/>
        <v>10.518361490371831</v>
      </c>
      <c r="V158">
        <v>4.9266508231362747E-3</v>
      </c>
      <c r="W158">
        <f t="shared" si="44"/>
        <v>5.00872749466844E-3</v>
      </c>
    </row>
    <row r="159" spans="1:23">
      <c r="A159">
        <v>156</v>
      </c>
      <c r="B159">
        <f t="shared" si="30"/>
        <v>78</v>
      </c>
      <c r="C159">
        <f t="shared" si="31"/>
        <v>0.63940415293635677</v>
      </c>
      <c r="D159" s="21">
        <v>3.6277905380193897E-8</v>
      </c>
      <c r="E159">
        <f t="shared" si="39"/>
        <v>0.12339644102105563</v>
      </c>
      <c r="F159">
        <f t="shared" si="32"/>
        <v>0.13170043102512652</v>
      </c>
      <c r="G159" s="22">
        <f t="shared" si="40"/>
        <v>3.6277905380193883E-8</v>
      </c>
      <c r="H159" s="21">
        <v>9.5353594301361196E-3</v>
      </c>
      <c r="I159">
        <f t="shared" si="33"/>
        <v>3.2797305275382195E-2</v>
      </c>
      <c r="J159" s="22">
        <f t="shared" si="41"/>
        <v>9.5353594301361196E-3</v>
      </c>
      <c r="K159">
        <f t="shared" si="42"/>
        <v>3.2265305571997915E-2</v>
      </c>
      <c r="L159">
        <v>3.0593740187374596E-3</v>
      </c>
      <c r="M159">
        <f t="shared" si="34"/>
        <v>3.2265305571997915E-2</v>
      </c>
      <c r="N159">
        <f t="shared" si="35"/>
        <v>9.5353594301361196E-3</v>
      </c>
      <c r="O159">
        <v>3.6277905380193883E-8</v>
      </c>
      <c r="P159">
        <f t="shared" si="36"/>
        <v>9.5353231522307402E-3</v>
      </c>
      <c r="Q159">
        <f t="shared" si="37"/>
        <v>0.99046464056986383</v>
      </c>
      <c r="R159">
        <f t="shared" si="38"/>
        <v>1</v>
      </c>
      <c r="S159">
        <v>8.7066972912465323E-5</v>
      </c>
      <c r="T159">
        <v>10.012089309842278</v>
      </c>
      <c r="U159">
        <f t="shared" si="43"/>
        <v>10.179087320240992</v>
      </c>
      <c r="V159">
        <v>4.7676898728815668E-3</v>
      </c>
      <c r="W159">
        <f t="shared" si="44"/>
        <v>4.8471703480089208E-3</v>
      </c>
    </row>
    <row r="160" spans="1:23">
      <c r="A160">
        <v>157</v>
      </c>
      <c r="B160">
        <f t="shared" si="30"/>
        <v>78.083333333333329</v>
      </c>
      <c r="C160">
        <f t="shared" si="31"/>
        <v>0.63757374329341898</v>
      </c>
      <c r="D160" s="21">
        <v>3.1795968394142501E-8</v>
      </c>
      <c r="E160">
        <f t="shared" si="39"/>
        <v>0.12354453596701676</v>
      </c>
      <c r="F160">
        <f t="shared" si="32"/>
        <v>0.13186938705497997</v>
      </c>
      <c r="G160" s="22">
        <f t="shared" si="40"/>
        <v>3.1795968394142488E-8</v>
      </c>
      <c r="H160" s="21">
        <v>9.2275040806391994E-3</v>
      </c>
      <c r="I160">
        <f t="shared" si="33"/>
        <v>3.2818336065767222E-2</v>
      </c>
      <c r="J160" s="22">
        <f t="shared" si="41"/>
        <v>9.2275040806391994E-3</v>
      </c>
      <c r="K160">
        <f t="shared" si="42"/>
        <v>3.2285657583494554E-2</v>
      </c>
      <c r="L160">
        <v>3.0593740187374596E-3</v>
      </c>
      <c r="M160">
        <f t="shared" si="34"/>
        <v>3.2285657583494554E-2</v>
      </c>
      <c r="N160">
        <f t="shared" si="35"/>
        <v>9.2275040806391994E-3</v>
      </c>
      <c r="O160">
        <v>3.1795968394142488E-8</v>
      </c>
      <c r="P160">
        <f t="shared" si="36"/>
        <v>9.2274722846708047E-3</v>
      </c>
      <c r="Q160">
        <f t="shared" si="37"/>
        <v>0.99077249591936078</v>
      </c>
      <c r="R160">
        <f t="shared" si="38"/>
        <v>1</v>
      </c>
      <c r="S160">
        <v>7.6310324145941973E-5</v>
      </c>
      <c r="T160">
        <v>9.6888458989043453</v>
      </c>
      <c r="U160">
        <f t="shared" si="43"/>
        <v>9.8505492930218423</v>
      </c>
      <c r="V160">
        <v>4.6137609431907501E-3</v>
      </c>
      <c r="W160">
        <f t="shared" si="44"/>
        <v>4.6907254080361584E-3</v>
      </c>
    </row>
    <row r="161" spans="1:23">
      <c r="A161">
        <v>158</v>
      </c>
      <c r="B161">
        <f t="shared" si="30"/>
        <v>78.166666666666671</v>
      </c>
      <c r="C161">
        <f t="shared" si="31"/>
        <v>0.6357485735280225</v>
      </c>
      <c r="D161" s="21">
        <v>2.7863066210101901E-8</v>
      </c>
      <c r="E161">
        <f t="shared" si="39"/>
        <v>0.12369185096954383</v>
      </c>
      <c r="F161">
        <f t="shared" si="32"/>
        <v>0.13203748160210085</v>
      </c>
      <c r="G161" s="22">
        <f t="shared" si="40"/>
        <v>2.7863066210101891E-8</v>
      </c>
      <c r="H161" s="21">
        <v>8.9294013260959506E-3</v>
      </c>
      <c r="I161">
        <f t="shared" si="33"/>
        <v>3.2839246257444429E-2</v>
      </c>
      <c r="J161" s="22">
        <f t="shared" si="41"/>
        <v>8.9294013260959506E-3</v>
      </c>
      <c r="K161">
        <f t="shared" si="42"/>
        <v>3.2305892464324915E-2</v>
      </c>
      <c r="L161">
        <v>3.0593740187374596E-3</v>
      </c>
      <c r="M161">
        <f t="shared" si="34"/>
        <v>3.2305892464324915E-2</v>
      </c>
      <c r="N161">
        <f t="shared" si="35"/>
        <v>8.9294013260959506E-3</v>
      </c>
      <c r="O161">
        <v>2.7863066210101891E-8</v>
      </c>
      <c r="P161">
        <f t="shared" si="36"/>
        <v>8.9293734630297404E-3</v>
      </c>
      <c r="Q161">
        <f t="shared" si="37"/>
        <v>0.99107059867390401</v>
      </c>
      <c r="R161">
        <f t="shared" si="38"/>
        <v>1</v>
      </c>
      <c r="S161">
        <v>6.6871358904244544E-5</v>
      </c>
      <c r="T161">
        <v>9.3758421361812267</v>
      </c>
      <c r="U161">
        <f t="shared" si="43"/>
        <v>9.5324156083843121</v>
      </c>
      <c r="V161">
        <v>4.4647084647065141E-3</v>
      </c>
      <c r="W161">
        <f t="shared" si="44"/>
        <v>4.5392347039486317E-3</v>
      </c>
    </row>
    <row r="162" spans="1:23">
      <c r="A162">
        <v>159</v>
      </c>
      <c r="B162">
        <f t="shared" si="30"/>
        <v>78.25</v>
      </c>
      <c r="C162">
        <f t="shared" si="31"/>
        <v>0.6339286286400736</v>
      </c>
      <c r="D162" s="21">
        <v>2.4412548810359299E-8</v>
      </c>
      <c r="E162">
        <f t="shared" si="39"/>
        <v>0.123838395018119</v>
      </c>
      <c r="F162">
        <f t="shared" si="32"/>
        <v>0.13220472448727047</v>
      </c>
      <c r="G162" s="22">
        <f t="shared" si="40"/>
        <v>2.4412548810359289E-8</v>
      </c>
      <c r="H162" s="21">
        <v>8.6407493950185297E-3</v>
      </c>
      <c r="I162">
        <f t="shared" si="33"/>
        <v>3.2860037301135424E-2</v>
      </c>
      <c r="J162" s="22">
        <f t="shared" si="41"/>
        <v>8.6407493950185297E-3</v>
      </c>
      <c r="K162">
        <f t="shared" si="42"/>
        <v>3.2326011625644302E-2</v>
      </c>
      <c r="L162">
        <v>3.0593740187374596E-3</v>
      </c>
      <c r="M162">
        <f t="shared" si="34"/>
        <v>3.2326011625644302E-2</v>
      </c>
      <c r="N162">
        <f t="shared" si="35"/>
        <v>8.6407493950185297E-3</v>
      </c>
      <c r="O162">
        <v>2.4412548810359289E-8</v>
      </c>
      <c r="P162">
        <f t="shared" si="36"/>
        <v>8.6407249824697191E-3</v>
      </c>
      <c r="Q162">
        <f t="shared" si="37"/>
        <v>0.99135925060498142</v>
      </c>
      <c r="R162">
        <f t="shared" si="38"/>
        <v>1</v>
      </c>
      <c r="S162">
        <v>5.8590117144862292E-5</v>
      </c>
      <c r="T162">
        <v>9.0727612315932049</v>
      </c>
      <c r="U162">
        <f t="shared" si="43"/>
        <v>9.2243644146252404</v>
      </c>
      <c r="V162">
        <v>4.3203815330229312E-3</v>
      </c>
      <c r="W162">
        <f t="shared" si="44"/>
        <v>4.3925449988647227E-3</v>
      </c>
    </row>
    <row r="163" spans="1:23">
      <c r="A163">
        <v>160</v>
      </c>
      <c r="B163">
        <f t="shared" si="30"/>
        <v>78.333333333333329</v>
      </c>
      <c r="C163">
        <f t="shared" si="31"/>
        <v>0.63211389367241899</v>
      </c>
      <c r="D163" s="21">
        <v>2.1385779039030599E-8</v>
      </c>
      <c r="E163">
        <f t="shared" si="39"/>
        <v>0.12398417694281516</v>
      </c>
      <c r="F163">
        <f t="shared" si="32"/>
        <v>0.1323711253582093</v>
      </c>
      <c r="G163" s="22">
        <f t="shared" si="40"/>
        <v>2.1385779039030593E-8</v>
      </c>
      <c r="H163" s="21">
        <v>8.3612555729223395E-3</v>
      </c>
      <c r="I163">
        <f t="shared" si="33"/>
        <v>3.2880710621102718E-2</v>
      </c>
      <c r="J163" s="22">
        <f t="shared" si="41"/>
        <v>8.3612555729223395E-3</v>
      </c>
      <c r="K163">
        <f t="shared" si="42"/>
        <v>3.2346016452846182E-2</v>
      </c>
      <c r="L163">
        <v>3.0593740187374596E-3</v>
      </c>
      <c r="M163">
        <f t="shared" si="34"/>
        <v>3.2346016452846182E-2</v>
      </c>
      <c r="N163">
        <f t="shared" si="35"/>
        <v>8.3612555729223395E-3</v>
      </c>
      <c r="O163">
        <v>2.1385779039030593E-8</v>
      </c>
      <c r="P163">
        <f t="shared" si="36"/>
        <v>8.3612341871433012E-3</v>
      </c>
      <c r="Q163">
        <f t="shared" si="37"/>
        <v>0.99163874442707767</v>
      </c>
      <c r="R163">
        <f t="shared" si="38"/>
        <v>1</v>
      </c>
      <c r="S163">
        <v>5.1325869693673422E-5</v>
      </c>
      <c r="T163">
        <v>8.7792958965004662</v>
      </c>
      <c r="U163">
        <f t="shared" si="43"/>
        <v>8.9260835220402548</v>
      </c>
      <c r="V163">
        <v>4.1806337744793014E-3</v>
      </c>
      <c r="W163">
        <f t="shared" si="44"/>
        <v>4.2505076537511163E-3</v>
      </c>
    </row>
    <row r="164" spans="1:23">
      <c r="A164">
        <v>161</v>
      </c>
      <c r="B164">
        <f t="shared" si="30"/>
        <v>78.416666666666671</v>
      </c>
      <c r="C164">
        <f t="shared" si="31"/>
        <v>0.63030435371072258</v>
      </c>
      <c r="D164" s="21">
        <v>1.8731179279668499E-8</v>
      </c>
      <c r="E164">
        <f t="shared" si="39"/>
        <v>0.12412920541810812</v>
      </c>
      <c r="F164">
        <f t="shared" si="32"/>
        <v>0.13253669369369864</v>
      </c>
      <c r="G164" s="22">
        <f t="shared" si="40"/>
        <v>1.8731179279668493E-8</v>
      </c>
      <c r="H164" s="21">
        <v>8.0906359417246693E-3</v>
      </c>
      <c r="I164">
        <f t="shared" si="33"/>
        <v>3.2901267615775082E-2</v>
      </c>
      <c r="J164" s="22">
        <f t="shared" si="41"/>
        <v>8.0906359417246693E-3</v>
      </c>
      <c r="K164">
        <f t="shared" si="42"/>
        <v>3.2365908306171587E-2</v>
      </c>
      <c r="L164">
        <v>3.0593740187374596E-3</v>
      </c>
      <c r="M164">
        <f t="shared" si="34"/>
        <v>3.2365908306171587E-2</v>
      </c>
      <c r="N164">
        <f t="shared" si="35"/>
        <v>8.0906359417246693E-3</v>
      </c>
      <c r="O164">
        <v>1.8731179279668493E-8</v>
      </c>
      <c r="P164">
        <f t="shared" si="36"/>
        <v>8.0906172105453898E-3</v>
      </c>
      <c r="Q164">
        <f t="shared" si="37"/>
        <v>0.99190936405827534</v>
      </c>
      <c r="R164">
        <f t="shared" si="38"/>
        <v>1</v>
      </c>
      <c r="S164">
        <v>4.4954830271204385E-5</v>
      </c>
      <c r="T164">
        <v>8.4951480710726592</v>
      </c>
      <c r="U164">
        <f t="shared" si="43"/>
        <v>8.6372701241365455</v>
      </c>
      <c r="V164">
        <v>4.0453232155925334E-3</v>
      </c>
      <c r="W164">
        <f t="shared" si="44"/>
        <v>4.1129784950359174E-3</v>
      </c>
    </row>
    <row r="165" spans="1:23">
      <c r="A165">
        <v>162</v>
      </c>
      <c r="B165">
        <f t="shared" si="30"/>
        <v>78.5</v>
      </c>
      <c r="C165">
        <f t="shared" si="31"/>
        <v>0.62849999388334321</v>
      </c>
      <c r="D165" s="21">
        <v>1.6403390278126299E-8</v>
      </c>
      <c r="E165">
        <f t="shared" si="39"/>
        <v>0.12427348896654189</v>
      </c>
      <c r="F165">
        <f t="shared" si="32"/>
        <v>0.13270143880754134</v>
      </c>
      <c r="G165" s="22">
        <f t="shared" si="40"/>
        <v>1.6403390278126292E-8</v>
      </c>
      <c r="H165" s="21">
        <v>7.8286151261764293E-3</v>
      </c>
      <c r="I165">
        <f t="shared" si="33"/>
        <v>3.2921709658393548E-2</v>
      </c>
      <c r="J165" s="22">
        <f t="shared" si="41"/>
        <v>7.8286151261764293E-3</v>
      </c>
      <c r="K165">
        <f t="shared" si="42"/>
        <v>3.2385688521338385E-2</v>
      </c>
      <c r="L165">
        <v>3.0593740187374596E-3</v>
      </c>
      <c r="M165">
        <f t="shared" si="34"/>
        <v>3.2385688521338385E-2</v>
      </c>
      <c r="N165">
        <f t="shared" si="35"/>
        <v>7.8286151261764293E-3</v>
      </c>
      <c r="O165">
        <v>1.6403390278126292E-8</v>
      </c>
      <c r="P165">
        <f t="shared" si="36"/>
        <v>7.8285987227861512E-3</v>
      </c>
      <c r="Q165">
        <f t="shared" si="37"/>
        <v>0.99217138487382361</v>
      </c>
      <c r="R165">
        <f t="shared" si="38"/>
        <v>1</v>
      </c>
      <c r="S165">
        <v>3.93681366675031E-5</v>
      </c>
      <c r="T165">
        <v>8.2200286589254592</v>
      </c>
      <c r="U165">
        <f t="shared" si="43"/>
        <v>8.3576305264825272</v>
      </c>
      <c r="V165">
        <v>3.9143121560374925E-3</v>
      </c>
      <c r="W165">
        <f t="shared" si="44"/>
        <v>3.9798176858150125E-3</v>
      </c>
    </row>
    <row r="166" spans="1:23">
      <c r="A166">
        <v>163</v>
      </c>
      <c r="B166">
        <f t="shared" si="30"/>
        <v>78.583333333333329</v>
      </c>
      <c r="C166">
        <f t="shared" si="31"/>
        <v>0.6267007993612127</v>
      </c>
      <c r="D166" s="21">
        <v>1.4362529079987999E-8</v>
      </c>
      <c r="E166">
        <f t="shared" si="39"/>
        <v>0.12441703596236209</v>
      </c>
      <c r="F166">
        <f t="shared" si="32"/>
        <v>0.1328653698524937</v>
      </c>
      <c r="G166" s="22">
        <f t="shared" si="40"/>
        <v>1.4362529079987993E-8</v>
      </c>
      <c r="H166" s="21">
        <v>7.5749260471578202E-3</v>
      </c>
      <c r="I166">
        <f t="shared" si="33"/>
        <v>3.2942038097602065E-2</v>
      </c>
      <c r="J166" s="22">
        <f t="shared" si="41"/>
        <v>7.5749260471578202E-3</v>
      </c>
      <c r="K166">
        <f t="shared" si="42"/>
        <v>3.2405358410116825E-2</v>
      </c>
      <c r="L166">
        <v>3.0593740187374596E-3</v>
      </c>
      <c r="M166">
        <f t="shared" si="34"/>
        <v>3.2405358410116825E-2</v>
      </c>
      <c r="N166">
        <f t="shared" si="35"/>
        <v>7.5749260471578202E-3</v>
      </c>
      <c r="O166">
        <v>1.4362529079987993E-8</v>
      </c>
      <c r="P166">
        <f t="shared" si="36"/>
        <v>7.5749116846287401E-3</v>
      </c>
      <c r="Q166">
        <f t="shared" si="37"/>
        <v>0.99242507395284218</v>
      </c>
      <c r="R166">
        <f t="shared" si="38"/>
        <v>1</v>
      </c>
      <c r="S166">
        <v>3.447006979197118E-5</v>
      </c>
      <c r="T166">
        <v>7.9536572688601774</v>
      </c>
      <c r="U166">
        <f t="shared" si="43"/>
        <v>8.0868798829960475</v>
      </c>
      <c r="V166">
        <v>3.7874670450870527E-3</v>
      </c>
      <c r="W166">
        <f t="shared" si="44"/>
        <v>3.8508896005622724E-3</v>
      </c>
    </row>
    <row r="167" spans="1:23">
      <c r="A167">
        <v>164</v>
      </c>
      <c r="B167">
        <f t="shared" si="30"/>
        <v>78.666666666666671</v>
      </c>
      <c r="C167">
        <f t="shared" si="31"/>
        <v>0.62490675535771412</v>
      </c>
      <c r="D167" s="21">
        <v>1.25735345455946E-8</v>
      </c>
      <c r="E167">
        <f t="shared" si="39"/>
        <v>0.12455985463493968</v>
      </c>
      <c r="F167">
        <f t="shared" si="32"/>
        <v>0.13302849582396417</v>
      </c>
      <c r="G167" s="22">
        <f t="shared" si="40"/>
        <v>1.2573534545594595E-8</v>
      </c>
      <c r="H167" s="21">
        <v>7.3293096816713496E-3</v>
      </c>
      <c r="I167">
        <f t="shared" si="33"/>
        <v>3.2962254258045241E-2</v>
      </c>
      <c r="J167" s="22">
        <f t="shared" si="41"/>
        <v>7.3293096816713496E-3</v>
      </c>
      <c r="K167">
        <f t="shared" si="42"/>
        <v>3.2424919260911844E-2</v>
      </c>
      <c r="L167">
        <v>3.0593740187374596E-3</v>
      </c>
      <c r="M167">
        <f t="shared" si="34"/>
        <v>3.2424919260911844E-2</v>
      </c>
      <c r="N167">
        <f t="shared" si="35"/>
        <v>7.3293096816713496E-3</v>
      </c>
      <c r="O167">
        <v>1.2573534545594595E-8</v>
      </c>
      <c r="P167">
        <f t="shared" si="36"/>
        <v>7.3292971081368036E-3</v>
      </c>
      <c r="Q167">
        <f t="shared" si="37"/>
        <v>0.99267069031832866</v>
      </c>
      <c r="R167">
        <f t="shared" si="38"/>
        <v>1</v>
      </c>
      <c r="S167">
        <v>3.017648290942703E-5</v>
      </c>
      <c r="T167">
        <v>7.6957619635436441</v>
      </c>
      <c r="U167">
        <f t="shared" si="43"/>
        <v>7.8247419394782618</v>
      </c>
      <c r="V167">
        <v>3.6646583614253474E-3</v>
      </c>
      <c r="W167">
        <f t="shared" si="44"/>
        <v>3.7260627032562003E-3</v>
      </c>
    </row>
    <row r="168" spans="1:23">
      <c r="A168">
        <v>165</v>
      </c>
      <c r="B168">
        <f t="shared" si="30"/>
        <v>78.75</v>
      </c>
      <c r="C168">
        <f t="shared" si="31"/>
        <v>0.62311784712855878</v>
      </c>
      <c r="D168" s="21">
        <v>1.10055902307388E-8</v>
      </c>
      <c r="E168">
        <f t="shared" si="39"/>
        <v>0.12470195307215037</v>
      </c>
      <c r="F168">
        <f t="shared" si="32"/>
        <v>0.13319082556366857</v>
      </c>
      <c r="G168" s="22">
        <f t="shared" si="40"/>
        <v>1.1005590230738797E-8</v>
      </c>
      <c r="H168" s="21">
        <v>7.09151482936909E-3</v>
      </c>
      <c r="I168">
        <f t="shared" si="33"/>
        <v>3.2982359440930309E-2</v>
      </c>
      <c r="J168" s="22">
        <f t="shared" si="41"/>
        <v>7.09151482936909E-3</v>
      </c>
      <c r="K168">
        <f t="shared" si="42"/>
        <v>3.2444372339310634E-2</v>
      </c>
      <c r="L168">
        <v>3.0593740187374596E-3</v>
      </c>
      <c r="M168">
        <f t="shared" si="34"/>
        <v>3.2444372339310634E-2</v>
      </c>
      <c r="N168">
        <f t="shared" si="35"/>
        <v>7.09151482936909E-3</v>
      </c>
      <c r="O168">
        <v>1.1005590230738797E-8</v>
      </c>
      <c r="P168">
        <f t="shared" si="36"/>
        <v>7.0915038237788592E-3</v>
      </c>
      <c r="Q168">
        <f t="shared" si="37"/>
        <v>0.99290848517063091</v>
      </c>
      <c r="R168">
        <f t="shared" si="38"/>
        <v>1</v>
      </c>
      <c r="S168">
        <v>2.6413416553773113E-5</v>
      </c>
      <c r="T168">
        <v>7.4460790149678022</v>
      </c>
      <c r="U168">
        <f t="shared" si="43"/>
        <v>7.5709487842054548</v>
      </c>
      <c r="V168">
        <v>3.5457604962498097E-3</v>
      </c>
      <c r="W168">
        <f t="shared" si="44"/>
        <v>3.6052094288375786E-3</v>
      </c>
    </row>
    <row r="169" spans="1:23">
      <c r="A169">
        <v>166</v>
      </c>
      <c r="B169">
        <f t="shared" si="30"/>
        <v>78.833333333333329</v>
      </c>
      <c r="C169">
        <f t="shared" si="31"/>
        <v>0.62133405997166735</v>
      </c>
      <c r="D169" s="21">
        <v>9.6316155962055899E-9</v>
      </c>
      <c r="E169">
        <f t="shared" si="39"/>
        <v>0.12484333922370427</v>
      </c>
      <c r="F169">
        <f t="shared" si="32"/>
        <v>0.13335236776323431</v>
      </c>
      <c r="G169" s="22">
        <f t="shared" si="40"/>
        <v>9.6316155962055882E-9</v>
      </c>
      <c r="H169" s="21">
        <v>6.8612978854538497E-3</v>
      </c>
      <c r="I169">
        <f t="shared" si="33"/>
        <v>3.3002354924596487E-2</v>
      </c>
      <c r="J169" s="22">
        <f t="shared" si="41"/>
        <v>6.8612978854538497E-3</v>
      </c>
      <c r="K169">
        <f t="shared" si="42"/>
        <v>3.2463718888637194E-2</v>
      </c>
      <c r="L169">
        <v>3.0593740187374596E-3</v>
      </c>
      <c r="M169">
        <f t="shared" si="34"/>
        <v>3.2463718888637194E-2</v>
      </c>
      <c r="N169">
        <f t="shared" si="35"/>
        <v>6.8612978854538497E-3</v>
      </c>
      <c r="O169">
        <v>9.6316155962055882E-9</v>
      </c>
      <c r="P169">
        <f t="shared" si="36"/>
        <v>6.8612882538382535E-3</v>
      </c>
      <c r="Q169">
        <f t="shared" si="37"/>
        <v>0.99313870211454613</v>
      </c>
      <c r="R169">
        <f t="shared" si="38"/>
        <v>1</v>
      </c>
      <c r="S169">
        <v>2.3115877430893413E-5</v>
      </c>
      <c r="T169">
        <v>7.2043526665301663</v>
      </c>
      <c r="U169">
        <f t="shared" si="43"/>
        <v>7.325240605395976</v>
      </c>
      <c r="V169">
        <v>3.4306516395792917E-3</v>
      </c>
      <c r="W169">
        <f t="shared" si="44"/>
        <v>3.4882060679145505E-3</v>
      </c>
    </row>
    <row r="170" spans="1:23">
      <c r="A170">
        <v>167</v>
      </c>
      <c r="B170">
        <f t="shared" si="30"/>
        <v>78.916666666666671</v>
      </c>
      <c r="C170">
        <f t="shared" si="31"/>
        <v>0.61955537922704751</v>
      </c>
      <c r="D170" s="21">
        <v>8.4278175511879306E-9</v>
      </c>
      <c r="E170">
        <f t="shared" si="39"/>
        <v>0.12498402090422922</v>
      </c>
      <c r="F170">
        <f t="shared" si="32"/>
        <v>0.13351313096752968</v>
      </c>
      <c r="G170" s="22">
        <f t="shared" si="40"/>
        <v>8.427817551187929E-9</v>
      </c>
      <c r="H170" s="21">
        <v>6.6384226197974197E-3</v>
      </c>
      <c r="I170">
        <f t="shared" si="33"/>
        <v>3.3022241965039438E-2</v>
      </c>
      <c r="J170" s="22">
        <f t="shared" si="41"/>
        <v>6.6384226197974197E-3</v>
      </c>
      <c r="K170">
        <f t="shared" si="42"/>
        <v>3.2482960130463367E-2</v>
      </c>
      <c r="L170">
        <v>3.0593740187374596E-3</v>
      </c>
      <c r="M170">
        <f t="shared" si="34"/>
        <v>3.2482960130463367E-2</v>
      </c>
      <c r="N170">
        <f t="shared" si="35"/>
        <v>6.6384226197974197E-3</v>
      </c>
      <c r="O170">
        <v>8.427817551187929E-9</v>
      </c>
      <c r="P170">
        <f t="shared" si="36"/>
        <v>6.6384141919798682E-3</v>
      </c>
      <c r="Q170">
        <f t="shared" si="37"/>
        <v>0.99336157738020259</v>
      </c>
      <c r="R170">
        <f t="shared" si="38"/>
        <v>1</v>
      </c>
      <c r="S170">
        <v>2.022676212285103E-5</v>
      </c>
      <c r="T170">
        <v>6.9703349015788616</v>
      </c>
      <c r="U170">
        <f t="shared" si="43"/>
        <v>7.0873654553742913</v>
      </c>
      <c r="V170">
        <v>3.319213669687624E-3</v>
      </c>
      <c r="W170">
        <f t="shared" si="44"/>
        <v>3.3749326546334579E-3</v>
      </c>
    </row>
    <row r="171" spans="1:23">
      <c r="A171">
        <v>168</v>
      </c>
      <c r="B171">
        <f t="shared" si="30"/>
        <v>79</v>
      </c>
      <c r="C171">
        <f t="shared" si="31"/>
        <v>0.61778179027667335</v>
      </c>
      <c r="D171" s="21">
        <v>7.3732952590615799E-9</v>
      </c>
      <c r="E171">
        <f t="shared" si="39"/>
        <v>0.12512400579646055</v>
      </c>
      <c r="F171">
        <f t="shared" si="32"/>
        <v>0.13367312357812036</v>
      </c>
      <c r="G171" s="22">
        <f t="shared" si="40"/>
        <v>7.3732952590615782E-9</v>
      </c>
      <c r="H171" s="21">
        <v>6.4226599621217996E-3</v>
      </c>
      <c r="I171">
        <f t="shared" si="33"/>
        <v>3.3042021796434715E-2</v>
      </c>
      <c r="J171" s="22">
        <f t="shared" si="41"/>
        <v>6.4226599621217996E-3</v>
      </c>
      <c r="K171">
        <f t="shared" si="42"/>
        <v>3.2502097265118768E-2</v>
      </c>
      <c r="L171">
        <v>3.4107179593899639E-3</v>
      </c>
      <c r="M171">
        <f t="shared" si="34"/>
        <v>3.2502097265118768E-2</v>
      </c>
      <c r="N171">
        <f t="shared" si="35"/>
        <v>6.4226599621217996E-3</v>
      </c>
      <c r="O171">
        <v>7.3732952590615782E-9</v>
      </c>
      <c r="P171">
        <f t="shared" si="36"/>
        <v>6.4226525888265405E-3</v>
      </c>
      <c r="Q171">
        <f t="shared" si="37"/>
        <v>0.99357734003787823</v>
      </c>
      <c r="R171">
        <f t="shared" si="38"/>
        <v>1</v>
      </c>
      <c r="S171">
        <v>1.7695908621747787E-5</v>
      </c>
      <c r="T171">
        <v>6.7437852182678677</v>
      </c>
      <c r="U171">
        <f t="shared" si="43"/>
        <v>6.8570790212587376</v>
      </c>
      <c r="V171">
        <v>3.2113320455835724E-3</v>
      </c>
      <c r="W171">
        <f t="shared" si="44"/>
        <v>3.2652728576355984E-3</v>
      </c>
    </row>
    <row r="172" spans="1:23">
      <c r="A172">
        <v>169</v>
      </c>
      <c r="B172">
        <f t="shared" si="30"/>
        <v>79.083333333333329</v>
      </c>
      <c r="C172">
        <f t="shared" si="31"/>
        <v>0.61601327854436605</v>
      </c>
      <c r="D172" s="21">
        <v>6.4496919523152199E-9</v>
      </c>
      <c r="E172">
        <f t="shared" si="39"/>
        <v>0.12526330145416009</v>
      </c>
      <c r="F172">
        <f t="shared" si="32"/>
        <v>0.13383235385642267</v>
      </c>
      <c r="G172" s="22">
        <f t="shared" si="40"/>
        <v>6.4496919523152182E-9</v>
      </c>
      <c r="H172" s="21">
        <v>6.2137877930924902E-3</v>
      </c>
      <c r="I172">
        <f t="shared" si="33"/>
        <v>3.3061695631646265E-2</v>
      </c>
      <c r="J172" s="22">
        <f t="shared" si="41"/>
        <v>6.2137877930924902E-3</v>
      </c>
      <c r="K172">
        <f t="shared" si="42"/>
        <v>3.252113147218616E-2</v>
      </c>
      <c r="L172">
        <v>3.4107179593899639E-3</v>
      </c>
      <c r="M172">
        <f t="shared" si="34"/>
        <v>3.252113147218616E-2</v>
      </c>
      <c r="N172">
        <f t="shared" si="35"/>
        <v>6.2137877930924902E-3</v>
      </c>
      <c r="O172">
        <v>6.4496919523152182E-9</v>
      </c>
      <c r="P172">
        <f t="shared" si="36"/>
        <v>6.2137813434005379E-3</v>
      </c>
      <c r="Q172">
        <f t="shared" si="37"/>
        <v>0.99378621220690755</v>
      </c>
      <c r="R172">
        <f t="shared" si="38"/>
        <v>1</v>
      </c>
      <c r="S172">
        <v>1.5479260685556524E-5</v>
      </c>
      <c r="T172">
        <v>6.5244704105705651</v>
      </c>
      <c r="U172">
        <f t="shared" si="43"/>
        <v>6.6341444020038702</v>
      </c>
      <c r="V172">
        <v>3.1068957024599918E-3</v>
      </c>
      <c r="W172">
        <f t="shared" si="44"/>
        <v>3.1591138740217819E-3</v>
      </c>
    </row>
    <row r="173" spans="1:23">
      <c r="A173">
        <v>170</v>
      </c>
      <c r="B173">
        <f t="shared" si="30"/>
        <v>79.166666666666671</v>
      </c>
      <c r="C173">
        <f t="shared" si="31"/>
        <v>0.61424982949567408</v>
      </c>
      <c r="D173" s="21">
        <v>5.6408882283671398E-9</v>
      </c>
      <c r="E173">
        <f t="shared" si="39"/>
        <v>0.1254019153050786</v>
      </c>
      <c r="F173">
        <f t="shared" si="32"/>
        <v>0.13399082992691139</v>
      </c>
      <c r="G173" s="22">
        <f t="shared" si="40"/>
        <v>5.6408882283671382E-9</v>
      </c>
      <c r="H173" s="21">
        <v>6.0115907411759503E-3</v>
      </c>
      <c r="I173">
        <f t="shared" si="33"/>
        <v>3.3081264662724909E-2</v>
      </c>
      <c r="J173" s="22">
        <f t="shared" si="41"/>
        <v>6.0115907411759503E-3</v>
      </c>
      <c r="K173">
        <f t="shared" si="42"/>
        <v>3.254006391098696E-2</v>
      </c>
      <c r="L173">
        <v>3.4107179593899639E-3</v>
      </c>
      <c r="M173">
        <f t="shared" si="34"/>
        <v>3.254006391098696E-2</v>
      </c>
      <c r="N173">
        <f t="shared" si="35"/>
        <v>6.0115907411759503E-3</v>
      </c>
      <c r="O173">
        <v>5.6408882283671382E-9</v>
      </c>
      <c r="P173">
        <f t="shared" si="36"/>
        <v>6.0115851002877215E-3</v>
      </c>
      <c r="Q173">
        <f t="shared" si="37"/>
        <v>0.99398840925882403</v>
      </c>
      <c r="R173">
        <f t="shared" si="38"/>
        <v>1</v>
      </c>
      <c r="S173">
        <v>1.3538131748081132E-5</v>
      </c>
      <c r="T173">
        <v>6.3121643553021078</v>
      </c>
      <c r="U173">
        <f t="shared" si="43"/>
        <v>6.4183318916325529</v>
      </c>
      <c r="V173">
        <v>3.0057969500366789E-3</v>
      </c>
      <c r="W173">
        <f t="shared" si="44"/>
        <v>3.0563463262483354E-3</v>
      </c>
    </row>
    <row r="174" spans="1:23">
      <c r="A174">
        <v>171</v>
      </c>
      <c r="B174">
        <f t="shared" si="30"/>
        <v>79.25</v>
      </c>
      <c r="C174">
        <f t="shared" si="31"/>
        <v>0.61249142863775241</v>
      </c>
      <c r="D174" s="21">
        <v>4.9327319400597797E-9</v>
      </c>
      <c r="E174">
        <f t="shared" si="39"/>
        <v>0.12553985465376771</v>
      </c>
      <c r="F174">
        <f t="shared" si="32"/>
        <v>0.13414855978016144</v>
      </c>
      <c r="G174" s="22">
        <f t="shared" si="40"/>
        <v>4.932731940059778E-9</v>
      </c>
      <c r="H174" s="21">
        <v>5.8158599851164602E-3</v>
      </c>
      <c r="I174">
        <f t="shared" si="33"/>
        <v>3.3100730061374421E-2</v>
      </c>
      <c r="J174" s="22">
        <f t="shared" si="41"/>
        <v>5.8158599851164602E-3</v>
      </c>
      <c r="K174">
        <f t="shared" si="42"/>
        <v>3.255889572103543E-2</v>
      </c>
      <c r="L174">
        <v>3.4107179593899639E-3</v>
      </c>
      <c r="M174">
        <f t="shared" si="34"/>
        <v>3.255889572103543E-2</v>
      </c>
      <c r="N174">
        <f t="shared" si="35"/>
        <v>5.8158599851164602E-3</v>
      </c>
      <c r="O174">
        <v>4.932731940059778E-9</v>
      </c>
      <c r="P174">
        <f t="shared" si="36"/>
        <v>5.8158550523845203E-3</v>
      </c>
      <c r="Q174">
        <f t="shared" si="37"/>
        <v>0.99418414001488353</v>
      </c>
      <c r="R174">
        <f t="shared" si="38"/>
        <v>1</v>
      </c>
      <c r="S174">
        <v>1.1838556656143468E-5</v>
      </c>
      <c r="T174">
        <v>6.106647805003746</v>
      </c>
      <c r="U174">
        <f t="shared" si="43"/>
        <v>6.2094187684971285</v>
      </c>
      <c r="V174">
        <v>2.9079313737231734E-3</v>
      </c>
      <c r="W174">
        <f t="shared" si="44"/>
        <v>2.9568641618799262E-3</v>
      </c>
    </row>
    <row r="175" spans="1:23">
      <c r="A175">
        <v>172</v>
      </c>
      <c r="B175">
        <f t="shared" si="30"/>
        <v>79.333333333333329</v>
      </c>
      <c r="C175">
        <f t="shared" si="31"/>
        <v>0.61073806151924548</v>
      </c>
      <c r="D175" s="21">
        <v>4.3128003631290301E-9</v>
      </c>
      <c r="E175">
        <f t="shared" si="39"/>
        <v>0.12567712668433317</v>
      </c>
      <c r="F175">
        <f t="shared" si="32"/>
        <v>0.1343055512758273</v>
      </c>
      <c r="G175" s="22">
        <f t="shared" si="40"/>
        <v>4.3128003631290284E-9</v>
      </c>
      <c r="H175" s="21">
        <v>5.6263930618904003E-3</v>
      </c>
      <c r="I175">
        <f t="shared" si="33"/>
        <v>3.312009297942408E-2</v>
      </c>
      <c r="J175" s="22">
        <f t="shared" si="41"/>
        <v>5.6263930618904003E-3</v>
      </c>
      <c r="K175">
        <f t="shared" si="42"/>
        <v>3.2577628022498861E-2</v>
      </c>
      <c r="L175">
        <v>3.4107179593899639E-3</v>
      </c>
      <c r="M175">
        <f t="shared" si="34"/>
        <v>3.2577628022498861E-2</v>
      </c>
      <c r="N175">
        <f t="shared" si="35"/>
        <v>5.6263930618904003E-3</v>
      </c>
      <c r="O175">
        <v>4.3128003631290284E-9</v>
      </c>
      <c r="P175">
        <f t="shared" si="36"/>
        <v>5.6263887490900369E-3</v>
      </c>
      <c r="Q175">
        <f t="shared" si="37"/>
        <v>0.99437360693810961</v>
      </c>
      <c r="R175">
        <f t="shared" si="38"/>
        <v>1</v>
      </c>
      <c r="S175">
        <v>1.0350720871509669E-5</v>
      </c>
      <c r="T175">
        <v>5.9077081865445384</v>
      </c>
      <c r="U175">
        <f t="shared" si="43"/>
        <v>6.0071890904129059</v>
      </c>
      <c r="V175">
        <v>2.8131977385293019E-3</v>
      </c>
      <c r="W175">
        <f t="shared" si="44"/>
        <v>2.8605645561262374E-3</v>
      </c>
    </row>
    <row r="176" spans="1:23">
      <c r="A176">
        <v>173</v>
      </c>
      <c r="B176">
        <f t="shared" si="30"/>
        <v>79.416666666666671</v>
      </c>
      <c r="C176">
        <f t="shared" si="31"/>
        <v>0.60898971373016686</v>
      </c>
      <c r="D176" s="21">
        <v>3.7701908261987601E-9</v>
      </c>
      <c r="E176">
        <f t="shared" si="39"/>
        <v>0.12581373846309807</v>
      </c>
      <c r="F176">
        <f t="shared" si="32"/>
        <v>0.13446181214552458</v>
      </c>
      <c r="G176" s="22">
        <f t="shared" si="40"/>
        <v>3.7701908261987585E-9</v>
      </c>
      <c r="H176" s="21">
        <v>5.4429936799990997E-3</v>
      </c>
      <c r="I176">
        <f t="shared" si="33"/>
        <v>3.3139354549274552E-2</v>
      </c>
      <c r="J176" s="22">
        <f t="shared" si="41"/>
        <v>5.4429936799990997E-3</v>
      </c>
      <c r="K176">
        <f t="shared" si="42"/>
        <v>3.2596261916632008E-2</v>
      </c>
      <c r="L176">
        <v>3.4107179593899639E-3</v>
      </c>
      <c r="M176">
        <f t="shared" si="34"/>
        <v>3.2596261916632008E-2</v>
      </c>
      <c r="N176">
        <f t="shared" si="35"/>
        <v>5.4429936799990997E-3</v>
      </c>
      <c r="O176">
        <v>3.7701908261987585E-9</v>
      </c>
      <c r="P176">
        <f t="shared" si="36"/>
        <v>5.4429899098082735E-3</v>
      </c>
      <c r="Q176">
        <f t="shared" si="37"/>
        <v>0.99455700632000088</v>
      </c>
      <c r="R176">
        <f t="shared" si="38"/>
        <v>1</v>
      </c>
      <c r="S176">
        <v>9.0484579828770206E-6</v>
      </c>
      <c r="T176">
        <v>5.7151394052986868</v>
      </c>
      <c r="U176">
        <f t="shared" si="43"/>
        <v>5.8114334955110394</v>
      </c>
      <c r="V176">
        <v>2.7214978956529813E-3</v>
      </c>
      <c r="W176">
        <f t="shared" si="44"/>
        <v>2.7673478170911416E-3</v>
      </c>
    </row>
    <row r="177" spans="1:23">
      <c r="A177">
        <v>174</v>
      </c>
      <c r="B177">
        <f t="shared" si="30"/>
        <v>79.5</v>
      </c>
      <c r="C177">
        <f t="shared" si="31"/>
        <v>0.60724637090178091</v>
      </c>
      <c r="D177" s="21">
        <v>3.2953364342283801E-9</v>
      </c>
      <c r="E177">
        <f t="shared" si="39"/>
        <v>0.12594969694124081</v>
      </c>
      <c r="F177">
        <f t="shared" si="32"/>
        <v>0.13461734999568764</v>
      </c>
      <c r="G177" s="22">
        <f t="shared" si="40"/>
        <v>3.2953364342283785E-9</v>
      </c>
      <c r="H177" s="21">
        <v>5.2654715379642199E-3</v>
      </c>
      <c r="I177">
        <f t="shared" si="33"/>
        <v>3.3158515884341287E-2</v>
      </c>
      <c r="J177" s="22">
        <f t="shared" si="41"/>
        <v>5.2654715379642199E-3</v>
      </c>
      <c r="K177">
        <f t="shared" si="42"/>
        <v>3.2614798486208962E-2</v>
      </c>
      <c r="L177">
        <v>3.4107179593899639E-3</v>
      </c>
      <c r="M177">
        <f t="shared" si="34"/>
        <v>3.2614798486208962E-2</v>
      </c>
      <c r="N177">
        <f t="shared" si="35"/>
        <v>5.2654715379642199E-3</v>
      </c>
      <c r="O177">
        <v>3.2953364342283785E-9</v>
      </c>
      <c r="P177">
        <f t="shared" si="36"/>
        <v>5.2654682426277856E-3</v>
      </c>
      <c r="Q177">
        <f t="shared" si="37"/>
        <v>0.99473452846203581</v>
      </c>
      <c r="R177">
        <f t="shared" si="38"/>
        <v>1</v>
      </c>
      <c r="S177">
        <v>7.9088074421481089E-6</v>
      </c>
      <c r="T177">
        <v>5.528741654759175</v>
      </c>
      <c r="U177">
        <f t="shared" si="43"/>
        <v>5.6219490086616428</v>
      </c>
      <c r="V177">
        <v>2.6327366916763114E-3</v>
      </c>
      <c r="W177">
        <f t="shared" si="44"/>
        <v>2.6771172936646461E-3</v>
      </c>
    </row>
    <row r="178" spans="1:23">
      <c r="A178">
        <v>175</v>
      </c>
      <c r="B178">
        <f t="shared" si="30"/>
        <v>79.583333333333329</v>
      </c>
      <c r="C178">
        <f t="shared" si="31"/>
        <v>0.60550801870648574</v>
      </c>
      <c r="D178" s="21">
        <v>2.8798439104014801E-9</v>
      </c>
      <c r="E178">
        <f t="shared" si="39"/>
        <v>0.12608500895726893</v>
      </c>
      <c r="F178">
        <f t="shared" si="32"/>
        <v>0.13477217231024391</v>
      </c>
      <c r="G178" s="22">
        <f t="shared" si="40"/>
        <v>2.8798439104014788E-9</v>
      </c>
      <c r="H178" s="21">
        <v>5.0936421478926597E-3</v>
      </c>
      <c r="I178">
        <f t="shared" si="33"/>
        <v>3.3177578079472345E-2</v>
      </c>
      <c r="J178" s="22">
        <f t="shared" si="41"/>
        <v>5.0936421478926597E-3</v>
      </c>
      <c r="K178">
        <f t="shared" si="42"/>
        <v>3.2633238795930164E-2</v>
      </c>
      <c r="L178">
        <v>3.4107179593899639E-3</v>
      </c>
      <c r="M178">
        <f t="shared" si="34"/>
        <v>3.2633238795930164E-2</v>
      </c>
      <c r="N178">
        <f t="shared" si="35"/>
        <v>5.0936421478926597E-3</v>
      </c>
      <c r="O178">
        <v>2.8798439104014788E-9</v>
      </c>
      <c r="P178">
        <f t="shared" si="36"/>
        <v>5.0936392680487495E-3</v>
      </c>
      <c r="Q178">
        <f t="shared" si="37"/>
        <v>0.99490635785210735</v>
      </c>
      <c r="R178">
        <f t="shared" si="38"/>
        <v>1</v>
      </c>
      <c r="S178">
        <v>6.9116253849635489E-6</v>
      </c>
      <c r="T178">
        <v>5.3483212314511865</v>
      </c>
      <c r="U178">
        <f t="shared" si="43"/>
        <v>5.4385388533215941</v>
      </c>
      <c r="V178">
        <v>2.546821880302625E-3</v>
      </c>
      <c r="W178">
        <f t="shared" si="44"/>
        <v>2.5897792859894682E-3</v>
      </c>
    </row>
    <row r="179" spans="1:23">
      <c r="A179">
        <v>176</v>
      </c>
      <c r="B179">
        <f t="shared" si="30"/>
        <v>79.666666666666671</v>
      </c>
      <c r="C179">
        <f t="shared" si="31"/>
        <v>0.60377464285769478</v>
      </c>
      <c r="D179" s="21">
        <v>2.5163509300110198E-9</v>
      </c>
      <c r="E179">
        <f t="shared" si="39"/>
        <v>0.12621968123952443</v>
      </c>
      <c r="F179">
        <f t="shared" si="32"/>
        <v>0.13492628645332896</v>
      </c>
      <c r="G179" s="22">
        <f t="shared" si="40"/>
        <v>2.5163509300110186E-9</v>
      </c>
      <c r="H179" s="21">
        <v>4.9273266639806596E-3</v>
      </c>
      <c r="I179">
        <f t="shared" si="33"/>
        <v>3.3196542211372519E-2</v>
      </c>
      <c r="J179" s="22">
        <f t="shared" si="41"/>
        <v>4.9273266639806596E-3</v>
      </c>
      <c r="K179">
        <f t="shared" si="42"/>
        <v>3.2651583892835512E-2</v>
      </c>
      <c r="L179">
        <v>3.4107179593899639E-3</v>
      </c>
      <c r="M179">
        <f t="shared" si="34"/>
        <v>3.2651583892835512E-2</v>
      </c>
      <c r="N179">
        <f t="shared" si="35"/>
        <v>4.9273266639806596E-3</v>
      </c>
      <c r="O179">
        <v>2.5163509300110186E-9</v>
      </c>
      <c r="P179">
        <f t="shared" si="36"/>
        <v>4.9273241476297299E-3</v>
      </c>
      <c r="Q179">
        <f t="shared" si="37"/>
        <v>0.99507267333601934</v>
      </c>
      <c r="R179">
        <f t="shared" si="38"/>
        <v>1</v>
      </c>
      <c r="S179">
        <v>6.0392422320264448E-6</v>
      </c>
      <c r="T179">
        <v>5.1736903550112165</v>
      </c>
      <c r="U179">
        <f t="shared" si="43"/>
        <v>5.2610122686650094</v>
      </c>
      <c r="V179">
        <v>2.4636640365685906E-3</v>
      </c>
      <c r="W179">
        <f t="shared" si="44"/>
        <v>2.5052429584356078E-3</v>
      </c>
    </row>
    <row r="180" spans="1:23">
      <c r="A180">
        <v>177</v>
      </c>
      <c r="B180">
        <f t="shared" si="30"/>
        <v>79.75</v>
      </c>
      <c r="C180">
        <f t="shared" si="31"/>
        <v>0.60204622910971872</v>
      </c>
      <c r="D180" s="21">
        <v>2.1984006281506399E-9</v>
      </c>
      <c r="E180">
        <f t="shared" si="39"/>
        <v>0.12635372040853921</v>
      </c>
      <c r="F180">
        <f t="shared" si="32"/>
        <v>0.1350796996718345</v>
      </c>
      <c r="G180" s="22">
        <f t="shared" si="40"/>
        <v>2.1984006281506387E-9</v>
      </c>
      <c r="H180" s="21">
        <v>4.7663517158298401E-3</v>
      </c>
      <c r="I180">
        <f t="shared" si="33"/>
        <v>3.3215409338993432E-2</v>
      </c>
      <c r="J180" s="22">
        <f t="shared" si="41"/>
        <v>4.7663517158298401E-3</v>
      </c>
      <c r="K180">
        <f t="shared" si="42"/>
        <v>3.2669834806684395E-2</v>
      </c>
      <c r="L180">
        <v>3.4107179593899639E-3</v>
      </c>
      <c r="M180">
        <f t="shared" si="34"/>
        <v>3.2669834806684395E-2</v>
      </c>
      <c r="N180">
        <f t="shared" si="35"/>
        <v>4.7663517158298401E-3</v>
      </c>
      <c r="O180">
        <v>2.1984006281506387E-9</v>
      </c>
      <c r="P180">
        <f t="shared" si="36"/>
        <v>4.7663495174292119E-3</v>
      </c>
      <c r="Q180">
        <f t="shared" si="37"/>
        <v>0.99523364828417016</v>
      </c>
      <c r="R180">
        <f t="shared" si="38"/>
        <v>1</v>
      </c>
      <c r="S180">
        <v>5.2761615075615327E-6</v>
      </c>
      <c r="T180">
        <v>5.0046669933006722</v>
      </c>
      <c r="U180">
        <f t="shared" si="43"/>
        <v>5.0891843318578136</v>
      </c>
      <c r="V180">
        <v>2.3831764734670961E-3</v>
      </c>
      <c r="W180">
        <f t="shared" si="44"/>
        <v>2.4234202550178436E-3</v>
      </c>
    </row>
    <row r="181" spans="1:23">
      <c r="A181">
        <v>178</v>
      </c>
      <c r="B181">
        <f t="shared" si="30"/>
        <v>79.833333333333329</v>
      </c>
      <c r="C181">
        <f t="shared" si="31"/>
        <v>0.60032276325764977</v>
      </c>
      <c r="D181" s="21">
        <v>1.9203312355557599E-9</v>
      </c>
      <c r="E181">
        <f t="shared" si="39"/>
        <v>0.12648713297939707</v>
      </c>
      <c r="F181">
        <f t="shared" si="32"/>
        <v>0.1352324190979679</v>
      </c>
      <c r="G181" s="22">
        <f t="shared" si="40"/>
        <v>1.9203312355557586E-9</v>
      </c>
      <c r="H181" s="21">
        <v>4.6105492464504298E-3</v>
      </c>
      <c r="I181">
        <f t="shared" si="33"/>
        <v>3.3234180503942057E-2</v>
      </c>
      <c r="J181" s="22">
        <f t="shared" si="41"/>
        <v>4.6105492464504298E-3</v>
      </c>
      <c r="K181">
        <f t="shared" si="42"/>
        <v>3.2687992550353484E-2</v>
      </c>
      <c r="L181">
        <v>3.4107179593899639E-3</v>
      </c>
      <c r="M181">
        <f t="shared" si="34"/>
        <v>3.2687992550353484E-2</v>
      </c>
      <c r="N181">
        <f t="shared" si="35"/>
        <v>4.6105492464504298E-3</v>
      </c>
      <c r="O181">
        <v>1.9203312355557586E-9</v>
      </c>
      <c r="P181">
        <f t="shared" si="36"/>
        <v>4.6105473261191946E-3</v>
      </c>
      <c r="Q181">
        <f t="shared" si="37"/>
        <v>0.99538945075354957</v>
      </c>
      <c r="R181">
        <f t="shared" si="38"/>
        <v>1</v>
      </c>
      <c r="S181">
        <v>4.6087949653338208E-6</v>
      </c>
      <c r="T181">
        <v>4.8410746924251544</v>
      </c>
      <c r="U181">
        <f t="shared" si="43"/>
        <v>4.9228757853411498</v>
      </c>
      <c r="V181">
        <v>2.3052751609179611E-3</v>
      </c>
      <c r="W181">
        <f t="shared" si="44"/>
        <v>2.3442258171925286E-3</v>
      </c>
    </row>
    <row r="182" spans="1:23">
      <c r="A182">
        <v>179</v>
      </c>
      <c r="B182">
        <f t="shared" si="30"/>
        <v>79.916666666666671</v>
      </c>
      <c r="C182">
        <f t="shared" si="31"/>
        <v>0.59860423113724404</v>
      </c>
      <c r="D182" s="21">
        <v>1.6771790378356199E-9</v>
      </c>
      <c r="E182">
        <f t="shared" si="39"/>
        <v>0.12661992536395406</v>
      </c>
      <c r="F182">
        <f t="shared" si="32"/>
        <v>0.13538445175165398</v>
      </c>
      <c r="G182" s="22">
        <f t="shared" si="40"/>
        <v>1.6771790378356187E-9</v>
      </c>
      <c r="H182" s="21">
        <v>4.4597563548300703E-3</v>
      </c>
      <c r="I182">
        <f t="shared" si="33"/>
        <v>3.3252856730832815E-2</v>
      </c>
      <c r="J182" s="22">
        <f t="shared" si="41"/>
        <v>4.4597563548300703E-3</v>
      </c>
      <c r="K182">
        <f t="shared" si="42"/>
        <v>3.2706058120179904E-2</v>
      </c>
      <c r="L182">
        <v>3.4107179593899639E-3</v>
      </c>
      <c r="M182">
        <f t="shared" si="34"/>
        <v>3.2706058120179904E-2</v>
      </c>
      <c r="N182">
        <f t="shared" si="35"/>
        <v>4.4597563548300703E-3</v>
      </c>
      <c r="O182">
        <v>1.6771790378356187E-9</v>
      </c>
      <c r="P182">
        <f t="shared" si="36"/>
        <v>4.4597546776510323E-3</v>
      </c>
      <c r="Q182">
        <f t="shared" si="37"/>
        <v>0.99554024364516991</v>
      </c>
      <c r="R182">
        <f t="shared" si="38"/>
        <v>1</v>
      </c>
      <c r="S182">
        <v>4.0252296908054851E-6</v>
      </c>
      <c r="T182">
        <v>4.6827424115335843</v>
      </c>
      <c r="U182">
        <f t="shared" si="43"/>
        <v>4.761912868991697</v>
      </c>
      <c r="V182">
        <v>2.2298786470251655E-3</v>
      </c>
      <c r="W182">
        <f t="shared" si="44"/>
        <v>2.2675769039715633E-3</v>
      </c>
    </row>
    <row r="183" spans="1:23">
      <c r="A183">
        <v>180</v>
      </c>
      <c r="B183">
        <f t="shared" si="30"/>
        <v>80</v>
      </c>
      <c r="C183">
        <f t="shared" si="31"/>
        <v>0.59689061862480519</v>
      </c>
      <c r="D183" s="21">
        <v>1.46459306621814E-9</v>
      </c>
      <c r="E183">
        <f t="shared" si="39"/>
        <v>0.12675210387307234</v>
      </c>
      <c r="F183">
        <f t="shared" si="32"/>
        <v>0.13553580454295605</v>
      </c>
      <c r="G183" s="22">
        <f t="shared" si="40"/>
        <v>1.4645930662181388E-9</v>
      </c>
      <c r="H183" s="21">
        <v>4.31381514294876E-3</v>
      </c>
      <c r="I183">
        <f t="shared" si="33"/>
        <v>3.3271439027697997E-2</v>
      </c>
      <c r="J183" s="22">
        <f t="shared" si="41"/>
        <v>4.31381514294876E-3</v>
      </c>
      <c r="K183">
        <f t="shared" si="42"/>
        <v>3.2724032496360689E-2</v>
      </c>
      <c r="L183">
        <v>3.8520291919468264E-3</v>
      </c>
      <c r="M183">
        <f t="shared" si="34"/>
        <v>3.2724032496360689E-2</v>
      </c>
      <c r="N183">
        <f t="shared" si="35"/>
        <v>4.31381514294876E-3</v>
      </c>
      <c r="O183">
        <v>1.4645930662181388E-9</v>
      </c>
      <c r="P183">
        <f t="shared" si="36"/>
        <v>4.3138136783556933E-3</v>
      </c>
      <c r="Q183">
        <f t="shared" si="37"/>
        <v>0.99568618485705129</v>
      </c>
      <c r="R183">
        <f t="shared" si="38"/>
        <v>1</v>
      </c>
      <c r="S183">
        <v>3.5150233589235332E-6</v>
      </c>
      <c r="T183">
        <v>4.5295043622734781</v>
      </c>
      <c r="U183">
        <f t="shared" si="43"/>
        <v>4.6061271570300555</v>
      </c>
      <c r="V183">
        <v>2.1569079815604384E-3</v>
      </c>
      <c r="W183">
        <f t="shared" si="44"/>
        <v>2.1933933142928019E-3</v>
      </c>
    </row>
    <row r="184" spans="1:23">
      <c r="A184">
        <v>181</v>
      </c>
      <c r="B184">
        <f t="shared" si="30"/>
        <v>80.083333333333329</v>
      </c>
      <c r="C184">
        <f t="shared" si="31"/>
        <v>0.59518191163706891</v>
      </c>
      <c r="D184" s="21">
        <v>1.27876011600876E-9</v>
      </c>
      <c r="E184">
        <f t="shared" si="39"/>
        <v>0.12688367471876416</v>
      </c>
      <c r="F184">
        <f t="shared" si="32"/>
        <v>0.13568648427439794</v>
      </c>
      <c r="G184" s="22">
        <f t="shared" si="40"/>
        <v>1.278760116008759E-9</v>
      </c>
      <c r="H184" s="21">
        <v>4.1725725671239002E-3</v>
      </c>
      <c r="I184">
        <f t="shared" si="33"/>
        <v>3.328992838630259E-2</v>
      </c>
      <c r="J184" s="22">
        <f t="shared" si="41"/>
        <v>4.1725725671239002E-3</v>
      </c>
      <c r="K184">
        <f t="shared" si="42"/>
        <v>3.2741916643259761E-2</v>
      </c>
      <c r="L184">
        <v>3.8520291919468264E-3</v>
      </c>
      <c r="M184">
        <f t="shared" si="34"/>
        <v>3.2741916643259761E-2</v>
      </c>
      <c r="N184">
        <f t="shared" si="35"/>
        <v>4.1725725671239002E-3</v>
      </c>
      <c r="O184">
        <v>1.278760116008759E-9</v>
      </c>
      <c r="P184">
        <f t="shared" si="36"/>
        <v>4.1725712883637842E-3</v>
      </c>
      <c r="Q184">
        <f t="shared" si="37"/>
        <v>0.99582742743287611</v>
      </c>
      <c r="R184">
        <f t="shared" si="38"/>
        <v>1</v>
      </c>
      <c r="S184">
        <v>3.0690242784210215E-6</v>
      </c>
      <c r="T184">
        <v>4.3811998527819735</v>
      </c>
      <c r="U184">
        <f t="shared" si="43"/>
        <v>4.4553553995515447</v>
      </c>
      <c r="V184">
        <v>2.0862866416147827E-3</v>
      </c>
      <c r="W184">
        <f t="shared" si="44"/>
        <v>2.1215973115876106E-3</v>
      </c>
    </row>
    <row r="185" spans="1:23">
      <c r="A185">
        <v>182</v>
      </c>
      <c r="B185">
        <f t="shared" si="30"/>
        <v>80.166666666666671</v>
      </c>
      <c r="C185">
        <f t="shared" si="31"/>
        <v>0.59347809613108604</v>
      </c>
      <c r="D185" s="21">
        <v>1.11633885509173E-9</v>
      </c>
      <c r="E185">
        <f t="shared" si="39"/>
        <v>0.12701464401624907</v>
      </c>
      <c r="F185">
        <f t="shared" si="32"/>
        <v>0.13583649764319056</v>
      </c>
      <c r="G185" s="22">
        <f t="shared" si="40"/>
        <v>1.116338855091729E-9</v>
      </c>
      <c r="H185" s="21">
        <v>4.0358802935712796E-3</v>
      </c>
      <c r="I185">
        <f t="shared" si="33"/>
        <v>3.3308325782531338E-2</v>
      </c>
      <c r="J185" s="22">
        <f t="shared" si="41"/>
        <v>4.0358802935712796E-3</v>
      </c>
      <c r="K185">
        <f t="shared" si="42"/>
        <v>3.2759711509784628E-2</v>
      </c>
      <c r="L185">
        <v>3.8520291919468264E-3</v>
      </c>
      <c r="M185">
        <f t="shared" si="34"/>
        <v>3.2759711509784628E-2</v>
      </c>
      <c r="N185">
        <f t="shared" si="35"/>
        <v>4.0358802935712796E-3</v>
      </c>
      <c r="O185">
        <v>1.116338855091729E-9</v>
      </c>
      <c r="P185">
        <f t="shared" si="36"/>
        <v>4.0358791772324249E-3</v>
      </c>
      <c r="Q185">
        <f t="shared" si="37"/>
        <v>0.99596411970642873</v>
      </c>
      <c r="R185">
        <f t="shared" si="38"/>
        <v>1</v>
      </c>
      <c r="S185">
        <v>2.6792132522201497E-6</v>
      </c>
      <c r="T185">
        <v>4.2376731360940463</v>
      </c>
      <c r="U185">
        <f t="shared" si="43"/>
        <v>4.3094393685567756</v>
      </c>
      <c r="V185">
        <v>2.0179404593605194E-3</v>
      </c>
      <c r="W185">
        <f t="shared" si="44"/>
        <v>2.0521135504876511E-3</v>
      </c>
    </row>
    <row r="186" spans="1:23">
      <c r="A186">
        <v>183</v>
      </c>
      <c r="B186">
        <f t="shared" si="30"/>
        <v>80.25</v>
      </c>
      <c r="C186">
        <f t="shared" si="31"/>
        <v>0.59177915810410853</v>
      </c>
      <c r="D186" s="21">
        <v>9.7440193150589697E-10</v>
      </c>
      <c r="E186">
        <f t="shared" si="39"/>
        <v>0.12714501778599296</v>
      </c>
      <c r="F186">
        <f t="shared" si="32"/>
        <v>0.13598585124344112</v>
      </c>
      <c r="G186" s="22">
        <f t="shared" si="40"/>
        <v>9.7440193150589614E-10</v>
      </c>
      <c r="H186" s="21">
        <v>3.90359455807108E-3</v>
      </c>
      <c r="I186">
        <f t="shared" si="33"/>
        <v>3.3326632176706804E-2</v>
      </c>
      <c r="J186" s="22">
        <f t="shared" si="41"/>
        <v>3.90359455807108E-3</v>
      </c>
      <c r="K186">
        <f t="shared" si="42"/>
        <v>3.2777418029696359E-2</v>
      </c>
      <c r="L186">
        <v>3.8520291919468264E-3</v>
      </c>
      <c r="M186">
        <f t="shared" si="34"/>
        <v>3.2777418029696359E-2</v>
      </c>
      <c r="N186">
        <f t="shared" si="35"/>
        <v>3.90359455807108E-3</v>
      </c>
      <c r="O186">
        <v>9.7440193150589614E-10</v>
      </c>
      <c r="P186">
        <f t="shared" si="36"/>
        <v>3.9035935836691485E-3</v>
      </c>
      <c r="Q186">
        <f t="shared" si="37"/>
        <v>0.9960964054419289</v>
      </c>
      <c r="R186">
        <f t="shared" si="38"/>
        <v>1</v>
      </c>
      <c r="S186">
        <v>2.3385646356141506E-6</v>
      </c>
      <c r="T186">
        <v>4.0987732628526059</v>
      </c>
      <c r="U186">
        <f t="shared" si="43"/>
        <v>4.1682257083622698</v>
      </c>
      <c r="V186">
        <v>1.9517975518680809E-3</v>
      </c>
      <c r="W186">
        <f t="shared" si="44"/>
        <v>1.9848690056143E-3</v>
      </c>
    </row>
    <row r="187" spans="1:23">
      <c r="A187">
        <v>184</v>
      </c>
      <c r="B187">
        <f t="shared" si="30"/>
        <v>80.333333333333329</v>
      </c>
      <c r="C187">
        <f t="shared" si="31"/>
        <v>0.59008508359347411</v>
      </c>
      <c r="D187" s="21">
        <v>8.5038511864819401E-10</v>
      </c>
      <c r="E187">
        <f t="shared" si="39"/>
        <v>0.12727480195573937</v>
      </c>
      <c r="F187">
        <f t="shared" si="32"/>
        <v>0.13613455156835699</v>
      </c>
      <c r="G187" s="22">
        <f t="shared" si="40"/>
        <v>8.5038511864819329E-10</v>
      </c>
      <c r="H187" s="21">
        <v>3.7755760296301101E-3</v>
      </c>
      <c r="I187">
        <f t="shared" si="33"/>
        <v>3.3344848513935557E-2</v>
      </c>
      <c r="J187" s="22">
        <f t="shared" si="41"/>
        <v>3.7755760296301101E-3</v>
      </c>
      <c r="K187">
        <f t="shared" si="42"/>
        <v>3.2795037121946646E-2</v>
      </c>
      <c r="L187">
        <v>3.8520291919468264E-3</v>
      </c>
      <c r="M187">
        <f t="shared" si="34"/>
        <v>3.2795037121946646E-2</v>
      </c>
      <c r="N187">
        <f t="shared" si="35"/>
        <v>3.7755760296301101E-3</v>
      </c>
      <c r="O187">
        <v>8.5038511864819329E-10</v>
      </c>
      <c r="P187">
        <f t="shared" si="36"/>
        <v>3.7755751792449914E-3</v>
      </c>
      <c r="Q187">
        <f t="shared" si="37"/>
        <v>0.99622442397036992</v>
      </c>
      <c r="R187">
        <f t="shared" si="38"/>
        <v>1</v>
      </c>
      <c r="S187">
        <v>2.0409242847556637E-6</v>
      </c>
      <c r="T187">
        <v>3.9643539382072408</v>
      </c>
      <c r="U187">
        <f t="shared" si="43"/>
        <v>4.0315657902743833</v>
      </c>
      <c r="V187">
        <v>1.8877882529228882E-3</v>
      </c>
      <c r="W187">
        <f t="shared" si="44"/>
        <v>1.9197929023954845E-3</v>
      </c>
    </row>
    <row r="188" spans="1:23">
      <c r="A188">
        <v>185</v>
      </c>
      <c r="B188">
        <f t="shared" si="30"/>
        <v>80.416666666666671</v>
      </c>
      <c r="C188">
        <f t="shared" si="31"/>
        <v>0.58839585867648969</v>
      </c>
      <c r="D188" s="21">
        <v>7.4204265098303795E-10</v>
      </c>
      <c r="E188">
        <f t="shared" si="39"/>
        <v>0.12740400236234328</v>
      </c>
      <c r="F188">
        <f t="shared" si="32"/>
        <v>0.13628260501222689</v>
      </c>
      <c r="G188" s="22">
        <f t="shared" si="40"/>
        <v>7.4204265098303733E-10</v>
      </c>
      <c r="H188" s="21">
        <v>3.6516896780342898E-3</v>
      </c>
      <c r="I188">
        <f t="shared" si="33"/>
        <v>3.3362975724415288E-2</v>
      </c>
      <c r="J188" s="22">
        <f t="shared" si="41"/>
        <v>3.6516896780342898E-3</v>
      </c>
      <c r="K188">
        <f t="shared" si="42"/>
        <v>3.2812569690977011E-2</v>
      </c>
      <c r="L188">
        <v>3.8520291919468264E-3</v>
      </c>
      <c r="M188">
        <f t="shared" si="34"/>
        <v>3.2812569690977011E-2</v>
      </c>
      <c r="N188">
        <f t="shared" si="35"/>
        <v>3.6516896780342898E-3</v>
      </c>
      <c r="O188">
        <v>7.4204265098303733E-10</v>
      </c>
      <c r="P188">
        <f t="shared" si="36"/>
        <v>3.651688935991639E-3</v>
      </c>
      <c r="Q188">
        <f t="shared" si="37"/>
        <v>0.99634831032196569</v>
      </c>
      <c r="R188">
        <f t="shared" si="38"/>
        <v>1</v>
      </c>
      <c r="S188">
        <v>1.7809023623592896E-6</v>
      </c>
      <c r="T188">
        <v>3.834273382791221</v>
      </c>
      <c r="U188">
        <f t="shared" si="43"/>
        <v>3.8993155714125542</v>
      </c>
      <c r="V188">
        <v>1.8258450467890873E-3</v>
      </c>
      <c r="W188">
        <f t="shared" si="44"/>
        <v>1.8568166498559879E-3</v>
      </c>
    </row>
    <row r="189" spans="1:23">
      <c r="A189">
        <v>186</v>
      </c>
      <c r="B189">
        <f t="shared" si="30"/>
        <v>80.5</v>
      </c>
      <c r="C189">
        <f t="shared" si="31"/>
        <v>0.58671146947031971</v>
      </c>
      <c r="D189" s="21">
        <v>6.4740800402396198E-10</v>
      </c>
      <c r="E189">
        <f t="shared" si="39"/>
        <v>0.12753262475372074</v>
      </c>
      <c r="F189">
        <f t="shared" si="32"/>
        <v>0.13643001787253786</v>
      </c>
      <c r="G189" s="22">
        <f t="shared" si="40"/>
        <v>6.4740800402396146E-10</v>
      </c>
      <c r="H189" s="21">
        <v>3.5318046451876198E-3</v>
      </c>
      <c r="I189">
        <f t="shared" si="33"/>
        <v>3.3381014723768587E-2</v>
      </c>
      <c r="J189" s="22">
        <f t="shared" si="41"/>
        <v>3.5318046451876198E-3</v>
      </c>
      <c r="K189">
        <f t="shared" si="42"/>
        <v>3.2830016627043768E-2</v>
      </c>
      <c r="L189">
        <v>3.8520291919468264E-3</v>
      </c>
      <c r="M189">
        <f t="shared" si="34"/>
        <v>3.2830016627043768E-2</v>
      </c>
      <c r="N189">
        <f t="shared" si="35"/>
        <v>3.5318046451876198E-3</v>
      </c>
      <c r="O189">
        <v>6.4740800402396146E-10</v>
      </c>
      <c r="P189">
        <f t="shared" si="36"/>
        <v>3.5318039977796159E-3</v>
      </c>
      <c r="Q189">
        <f t="shared" si="37"/>
        <v>0.99646819535481235</v>
      </c>
      <c r="R189">
        <f t="shared" si="38"/>
        <v>1</v>
      </c>
      <c r="S189">
        <v>1.5537792096575075E-6</v>
      </c>
      <c r="T189">
        <v>3.7083941976685968</v>
      </c>
      <c r="U189">
        <f t="shared" si="43"/>
        <v>3.7713354575706948</v>
      </c>
      <c r="V189">
        <v>1.765902503868051E-3</v>
      </c>
      <c r="W189">
        <f t="shared" si="44"/>
        <v>1.7958737753285691E-3</v>
      </c>
    </row>
    <row r="190" spans="1:23">
      <c r="A190">
        <v>187</v>
      </c>
      <c r="B190">
        <f t="shared" si="30"/>
        <v>80.583333333333329</v>
      </c>
      <c r="C190">
        <f t="shared" si="31"/>
        <v>0.58503190213187051</v>
      </c>
      <c r="D190" s="21">
        <v>5.6475946136540604E-10</v>
      </c>
      <c r="E190">
        <f t="shared" si="39"/>
        <v>0.12766067479063314</v>
      </c>
      <c r="F190">
        <f t="shared" si="32"/>
        <v>0.13657679635190623</v>
      </c>
      <c r="G190" s="22">
        <f t="shared" si="40"/>
        <v>5.6475946136540563E-10</v>
      </c>
      <c r="H190" s="21">
        <v>3.4157941201366101E-3</v>
      </c>
      <c r="I190">
        <f t="shared" si="33"/>
        <v>3.3398966413325279E-2</v>
      </c>
      <c r="J190" s="22">
        <f t="shared" si="41"/>
        <v>3.4157941201366101E-3</v>
      </c>
      <c r="K190">
        <f t="shared" si="42"/>
        <v>3.2847378806493133E-2</v>
      </c>
      <c r="L190">
        <v>3.8520291919468264E-3</v>
      </c>
      <c r="M190">
        <f t="shared" si="34"/>
        <v>3.2847378806493133E-2</v>
      </c>
      <c r="N190">
        <f t="shared" si="35"/>
        <v>3.4157941201366101E-3</v>
      </c>
      <c r="O190">
        <v>5.6475946136540563E-10</v>
      </c>
      <c r="P190">
        <f t="shared" si="36"/>
        <v>3.4157935553771487E-3</v>
      </c>
      <c r="Q190">
        <f t="shared" si="37"/>
        <v>0.99658420587986341</v>
      </c>
      <c r="R190">
        <f t="shared" si="38"/>
        <v>1</v>
      </c>
      <c r="S190">
        <v>1.3554227072769735E-6</v>
      </c>
      <c r="T190">
        <v>3.5865832331460061</v>
      </c>
      <c r="U190">
        <f t="shared" si="43"/>
        <v>3.6474901700082603</v>
      </c>
      <c r="V190">
        <v>1.7078972182009542E-3</v>
      </c>
      <c r="W190">
        <f t="shared" si="44"/>
        <v>1.7368998610345025E-3</v>
      </c>
    </row>
    <row r="191" spans="1:23">
      <c r="A191">
        <v>188</v>
      </c>
      <c r="B191">
        <f t="shared" si="30"/>
        <v>80.666666666666671</v>
      </c>
      <c r="C191">
        <f t="shared" si="31"/>
        <v>0.58335714285767604</v>
      </c>
      <c r="D191" s="21">
        <v>4.9258989005706396E-10</v>
      </c>
      <c r="E191">
        <f t="shared" si="39"/>
        <v>0.12778815804848909</v>
      </c>
      <c r="F191">
        <f t="shared" si="32"/>
        <v>0.13672294656003148</v>
      </c>
      <c r="G191" s="22">
        <f t="shared" si="40"/>
        <v>4.9258989005706365E-10</v>
      </c>
      <c r="H191" s="21">
        <v>3.3035352176811802E-3</v>
      </c>
      <c r="I191">
        <f t="shared" si="33"/>
        <v>3.3416831680449094E-2</v>
      </c>
      <c r="J191" s="22">
        <f t="shared" si="41"/>
        <v>3.3035352176811802E-3</v>
      </c>
      <c r="K191">
        <f t="shared" si="42"/>
        <v>3.2864657092079197E-2</v>
      </c>
      <c r="L191">
        <v>3.8520291919468264E-3</v>
      </c>
      <c r="M191">
        <f t="shared" si="34"/>
        <v>3.2864657092079197E-2</v>
      </c>
      <c r="N191">
        <f t="shared" si="35"/>
        <v>3.3035352176811802E-3</v>
      </c>
      <c r="O191">
        <v>4.9258989005706365E-10</v>
      </c>
      <c r="P191">
        <f t="shared" si="36"/>
        <v>3.3035347250912903E-3</v>
      </c>
      <c r="Q191">
        <f t="shared" si="37"/>
        <v>0.99669646478231877</v>
      </c>
      <c r="R191">
        <f t="shared" si="38"/>
        <v>1</v>
      </c>
      <c r="S191">
        <v>1.1822157361369527E-6</v>
      </c>
      <c r="T191">
        <v>3.4687114613458547</v>
      </c>
      <c r="U191">
        <f t="shared" si="43"/>
        <v>3.5276486160651519</v>
      </c>
      <c r="V191">
        <v>1.6517677467657594E-3</v>
      </c>
      <c r="W191">
        <f t="shared" si="44"/>
        <v>1.6798324824833567E-3</v>
      </c>
    </row>
    <row r="192" spans="1:23">
      <c r="A192">
        <v>189</v>
      </c>
      <c r="B192">
        <f t="shared" si="30"/>
        <v>80.75</v>
      </c>
      <c r="C192">
        <f t="shared" si="31"/>
        <v>0.58168717788378643</v>
      </c>
      <c r="D192" s="21">
        <v>4.2958021485383001E-10</v>
      </c>
      <c r="E192">
        <f t="shared" si="39"/>
        <v>0.12791508001906948</v>
      </c>
      <c r="F192">
        <f t="shared" si="32"/>
        <v>0.13686847451556558</v>
      </c>
      <c r="G192" s="22">
        <f t="shared" si="40"/>
        <v>4.295802148538297E-10</v>
      </c>
      <c r="H192" s="21">
        <v>3.1949088604758102E-3</v>
      </c>
      <c r="I192">
        <f t="shared" si="33"/>
        <v>3.3434611398795888E-2</v>
      </c>
      <c r="J192" s="22">
        <f t="shared" si="41"/>
        <v>3.1949088604758102E-3</v>
      </c>
      <c r="K192">
        <f t="shared" si="42"/>
        <v>3.2881852333215611E-2</v>
      </c>
      <c r="L192">
        <v>3.8520291919468264E-3</v>
      </c>
      <c r="M192">
        <f t="shared" si="34"/>
        <v>3.2881852333215611E-2</v>
      </c>
      <c r="N192">
        <f t="shared" si="35"/>
        <v>3.1949088604758102E-3</v>
      </c>
      <c r="O192">
        <v>4.295802148538297E-10</v>
      </c>
      <c r="P192">
        <f t="shared" si="36"/>
        <v>3.1949084308955955E-3</v>
      </c>
      <c r="Q192">
        <f t="shared" si="37"/>
        <v>0.9968050911395242</v>
      </c>
      <c r="R192">
        <f t="shared" si="38"/>
        <v>1</v>
      </c>
      <c r="S192">
        <v>1.0309925156491913E-6</v>
      </c>
      <c r="T192">
        <v>3.3546538524403751</v>
      </c>
      <c r="U192">
        <f t="shared" si="43"/>
        <v>3.4116837634972406</v>
      </c>
      <c r="V192">
        <v>1.5974545505203653E-3</v>
      </c>
      <c r="W192">
        <f t="shared" si="44"/>
        <v>1.6246111486430625E-3</v>
      </c>
    </row>
    <row r="193" spans="1:23">
      <c r="A193">
        <v>190</v>
      </c>
      <c r="B193">
        <f t="shared" si="30"/>
        <v>80.833333333333329</v>
      </c>
      <c r="C193">
        <f t="shared" si="31"/>
        <v>0.58002199348565209</v>
      </c>
      <c r="D193" s="21">
        <v>3.7457614292274502E-10</v>
      </c>
      <c r="E193">
        <f t="shared" si="39"/>
        <v>0.12804144611222568</v>
      </c>
      <c r="F193">
        <f t="shared" si="32"/>
        <v>0.137013386147954</v>
      </c>
      <c r="G193" s="22">
        <f t="shared" si="40"/>
        <v>3.7457614292274471E-10</v>
      </c>
      <c r="H193" s="21">
        <v>3.0897996645265998E-3</v>
      </c>
      <c r="I193">
        <f t="shared" si="33"/>
        <v>3.3452306428624977E-2</v>
      </c>
      <c r="J193" s="22">
        <f t="shared" si="41"/>
        <v>3.0897996645265998E-3</v>
      </c>
      <c r="K193">
        <f t="shared" si="42"/>
        <v>3.2898965366278565E-2</v>
      </c>
      <c r="L193">
        <v>3.8520291919468264E-3</v>
      </c>
      <c r="M193">
        <f t="shared" si="34"/>
        <v>3.2898965366278565E-2</v>
      </c>
      <c r="N193">
        <f t="shared" si="35"/>
        <v>3.0897996645265998E-3</v>
      </c>
      <c r="O193">
        <v>3.7457614292274471E-10</v>
      </c>
      <c r="P193">
        <f t="shared" si="36"/>
        <v>3.0897992899504567E-3</v>
      </c>
      <c r="Q193">
        <f t="shared" si="37"/>
        <v>0.9969102003354734</v>
      </c>
      <c r="R193">
        <f t="shared" si="38"/>
        <v>1</v>
      </c>
      <c r="S193">
        <v>8.9898274301458725E-7</v>
      </c>
      <c r="T193">
        <v>3.2442892544479793</v>
      </c>
      <c r="U193">
        <f t="shared" si="43"/>
        <v>3.2994725184318066</v>
      </c>
      <c r="V193">
        <v>1.5448999371446199E-3</v>
      </c>
      <c r="W193">
        <f t="shared" si="44"/>
        <v>1.5711772438324926E-3</v>
      </c>
    </row>
    <row r="194" spans="1:23">
      <c r="A194">
        <v>191</v>
      </c>
      <c r="B194">
        <f t="shared" si="30"/>
        <v>80.916666666666671</v>
      </c>
      <c r="C194">
        <f t="shared" si="31"/>
        <v>0.57836157597801363</v>
      </c>
      <c r="D194" s="21">
        <v>3.2656774440210902E-10</v>
      </c>
      <c r="E194">
        <f t="shared" si="39"/>
        <v>0.12816726165749848</v>
      </c>
      <c r="F194">
        <f t="shared" si="32"/>
        <v>0.1371576872991889</v>
      </c>
      <c r="G194" s="22">
        <f t="shared" si="40"/>
        <v>3.2656774440210876E-10</v>
      </c>
      <c r="H194" s="21">
        <v>2.98809582799256E-3</v>
      </c>
      <c r="I194">
        <f t="shared" si="33"/>
        <v>3.3469917617047887E-2</v>
      </c>
      <c r="J194" s="22">
        <f t="shared" si="41"/>
        <v>2.98809582799256E-3</v>
      </c>
      <c r="K194">
        <f t="shared" si="42"/>
        <v>3.2915997014849263E-2</v>
      </c>
      <c r="L194">
        <v>3.8520291919468264E-3</v>
      </c>
      <c r="M194">
        <f t="shared" si="34"/>
        <v>3.2915997014849263E-2</v>
      </c>
      <c r="N194">
        <f t="shared" si="35"/>
        <v>2.98809582799256E-3</v>
      </c>
      <c r="O194">
        <v>3.2656774440210876E-10</v>
      </c>
      <c r="P194">
        <f t="shared" si="36"/>
        <v>2.9880955014248158E-3</v>
      </c>
      <c r="Q194">
        <f t="shared" si="37"/>
        <v>0.99701190417200747</v>
      </c>
      <c r="R194">
        <f t="shared" si="38"/>
        <v>1</v>
      </c>
      <c r="S194">
        <v>7.8376258656506101E-7</v>
      </c>
      <c r="T194">
        <v>3.1375002764960565</v>
      </c>
      <c r="U194">
        <f t="shared" si="43"/>
        <v>3.1908956068446823</v>
      </c>
      <c r="V194">
        <v>1.4940480054352486E-3</v>
      </c>
      <c r="W194">
        <f t="shared" si="44"/>
        <v>1.5194739712899342E-3</v>
      </c>
    </row>
    <row r="195" spans="1:23">
      <c r="A195">
        <v>192</v>
      </c>
      <c r="B195">
        <f t="shared" ref="B195:B258" si="45">(start_age*12+A195)/12</f>
        <v>81</v>
      </c>
      <c r="C195">
        <f t="shared" ref="C195:C258" si="46">1/(1+Disc_rate_per_cyc)^$A195</f>
        <v>0.57670591171478769</v>
      </c>
      <c r="D195" s="21">
        <v>2.8467154163400498E-10</v>
      </c>
      <c r="E195">
        <f t="shared" si="39"/>
        <v>0.1282925319057735</v>
      </c>
      <c r="F195">
        <f t="shared" si="32"/>
        <v>0.13730138372560696</v>
      </c>
      <c r="G195" s="22">
        <f t="shared" si="40"/>
        <v>2.8467154163400472E-10</v>
      </c>
      <c r="H195" s="21">
        <v>2.8896890232013102E-3</v>
      </c>
      <c r="I195">
        <f t="shared" si="33"/>
        <v>3.3487445798331072E-2</v>
      </c>
      <c r="J195" s="22">
        <f t="shared" si="41"/>
        <v>2.8896890232013102E-3</v>
      </c>
      <c r="K195">
        <f t="shared" si="42"/>
        <v>3.2932948090008463E-2</v>
      </c>
      <c r="L195">
        <v>4.3990993379783294E-3</v>
      </c>
      <c r="M195">
        <f t="shared" si="34"/>
        <v>3.2932948090008463E-2</v>
      </c>
      <c r="N195">
        <f t="shared" si="35"/>
        <v>2.8896890232013102E-3</v>
      </c>
      <c r="O195">
        <v>2.8467154163400472E-10</v>
      </c>
      <c r="P195">
        <f t="shared" si="36"/>
        <v>2.8896887385297687E-3</v>
      </c>
      <c r="Q195">
        <f t="shared" si="37"/>
        <v>0.9971103109767987</v>
      </c>
      <c r="R195">
        <f t="shared" si="38"/>
        <v>1</v>
      </c>
      <c r="S195">
        <v>6.832116999216113E-7</v>
      </c>
      <c r="T195">
        <v>3.0341731754562571</v>
      </c>
      <c r="U195">
        <f t="shared" si="43"/>
        <v>3.0858374594633</v>
      </c>
      <c r="V195">
        <v>1.4448445913086867E-3</v>
      </c>
      <c r="W195">
        <f t="shared" si="44"/>
        <v>1.4694462983719677E-3</v>
      </c>
    </row>
    <row r="196" spans="1:23">
      <c r="A196">
        <v>193</v>
      </c>
      <c r="B196">
        <f t="shared" si="45"/>
        <v>81.083333333333329</v>
      </c>
      <c r="C196">
        <f t="shared" si="46"/>
        <v>0.57505498708895542</v>
      </c>
      <c r="D196" s="21">
        <v>2.4811480167927799E-10</v>
      </c>
      <c r="E196">
        <f t="shared" si="39"/>
        <v>0.12841726203080417</v>
      </c>
      <c r="F196">
        <f t="shared" ref="F196:F259" si="47">-LN(D196/D195)*PSA_SocHRsclr_pfs_VtUs</f>
        <v>0.1374444810995378</v>
      </c>
      <c r="G196" s="22">
        <f t="shared" si="40"/>
        <v>2.4811480167927778E-10</v>
      </c>
      <c r="H196" s="21">
        <v>2.7944742917919698E-3</v>
      </c>
      <c r="I196">
        <f t="shared" ref="I196:I259" si="48">-LN(H196/H195)*PSA_SocHRsclr_os_VtUs</f>
        <v>3.3504891794115775E-2</v>
      </c>
      <c r="J196" s="22">
        <f t="shared" si="41"/>
        <v>2.7944742917919698E-3</v>
      </c>
      <c r="K196">
        <f t="shared" si="42"/>
        <v>3.2949819390550861E-2</v>
      </c>
      <c r="L196">
        <v>4.3990993379783294E-3</v>
      </c>
      <c r="M196">
        <f t="shared" ref="M196:M259" si="49">MAX(K196:L196)</f>
        <v>3.2949819390550861E-2</v>
      </c>
      <c r="N196">
        <f t="shared" ref="N196:N259" si="50">N195*(1-M196)</f>
        <v>2.7944742917919698E-3</v>
      </c>
      <c r="O196">
        <v>2.4811480167927778E-10</v>
      </c>
      <c r="P196">
        <f t="shared" ref="P196:P259" si="51">N196-O196</f>
        <v>2.7944740436771681E-3</v>
      </c>
      <c r="Q196">
        <f t="shared" ref="Q196:Q259" si="52">1-N196</f>
        <v>0.99720552570820808</v>
      </c>
      <c r="R196">
        <f t="shared" ref="R196:R259" si="53">SUM(O196:Q196)</f>
        <v>1</v>
      </c>
      <c r="S196">
        <v>5.9547552403026671E-7</v>
      </c>
      <c r="T196">
        <v>2.9341977458610264</v>
      </c>
      <c r="U196">
        <f t="shared" si="43"/>
        <v>2.9841861000022538</v>
      </c>
      <c r="V196">
        <v>1.3972372153681293E-3</v>
      </c>
      <c r="W196">
        <f t="shared" si="44"/>
        <v>1.4210409033384081E-3</v>
      </c>
    </row>
    <row r="197" spans="1:23">
      <c r="A197">
        <v>194</v>
      </c>
      <c r="B197">
        <f t="shared" si="45"/>
        <v>81.166666666666671</v>
      </c>
      <c r="C197">
        <f t="shared" si="46"/>
        <v>0.57340878853245036</v>
      </c>
      <c r="D197" s="21">
        <v>2.1622176353572E-10</v>
      </c>
      <c r="E197">
        <f t="shared" ref="E197:E260" si="54">1-D197/D196</f>
        <v>0.12854145713073606</v>
      </c>
      <c r="F197">
        <f t="shared" si="47"/>
        <v>0.1375869850109567</v>
      </c>
      <c r="G197" s="22">
        <f t="shared" ref="G197:G260" si="55">G196*EXP(-F197)</f>
        <v>2.1622176353571982E-10</v>
      </c>
      <c r="H197" s="21">
        <v>2.7023499428996999E-3</v>
      </c>
      <c r="I197">
        <f t="shared" si="48"/>
        <v>3.3522256413708519E-2</v>
      </c>
      <c r="J197" s="22">
        <f t="shared" ref="J197:J260" si="56">J196*EXP(-I197)</f>
        <v>2.7023499428996999E-3</v>
      </c>
      <c r="K197">
        <f t="shared" ref="K197:K260" si="57">1-(J197/J196)</f>
        <v>3.2966611703267756E-2</v>
      </c>
      <c r="L197">
        <v>4.3990993379783294E-3</v>
      </c>
      <c r="M197">
        <f t="shared" si="49"/>
        <v>3.2966611703267756E-2</v>
      </c>
      <c r="N197">
        <f t="shared" si="50"/>
        <v>2.7023499428996999E-3</v>
      </c>
      <c r="O197">
        <v>2.1622176353571982E-10</v>
      </c>
      <c r="P197">
        <f t="shared" si="51"/>
        <v>2.7023497266779363E-3</v>
      </c>
      <c r="Q197">
        <f t="shared" si="52"/>
        <v>0.99729765005710025</v>
      </c>
      <c r="R197">
        <f t="shared" si="53"/>
        <v>1</v>
      </c>
      <c r="S197">
        <v>5.189322324857276E-7</v>
      </c>
      <c r="T197">
        <v>2.8374672130118332</v>
      </c>
      <c r="U197">
        <f t="shared" ref="U197:U260" si="58">(S196+T196+S197+T197)/2</f>
        <v>2.885833036640308</v>
      </c>
      <c r="V197">
        <v>1.3511750319919436E-3</v>
      </c>
      <c r="W197">
        <f t="shared" ref="W197:W260" si="59">(V196+V197)/2</f>
        <v>1.3742061236800365E-3</v>
      </c>
    </row>
    <row r="198" spans="1:23">
      <c r="A198">
        <v>195</v>
      </c>
      <c r="B198">
        <f t="shared" si="45"/>
        <v>81.25</v>
      </c>
      <c r="C198">
        <f t="shared" si="46"/>
        <v>0.57176730251604702</v>
      </c>
      <c r="D198" s="21">
        <v>1.88401563901688E-10</v>
      </c>
      <c r="E198">
        <f t="shared" si="54"/>
        <v>0.12866512222964133</v>
      </c>
      <c r="F198">
        <f t="shared" si="47"/>
        <v>0.1377289009691515</v>
      </c>
      <c r="G198" s="22">
        <f t="shared" si="55"/>
        <v>1.8840156390168782E-10</v>
      </c>
      <c r="H198" s="21">
        <v>2.6132174542988799E-3</v>
      </c>
      <c r="I198">
        <f t="shared" si="48"/>
        <v>3.3539540454302803E-2</v>
      </c>
      <c r="J198" s="22">
        <f t="shared" si="56"/>
        <v>2.6132174542988799E-3</v>
      </c>
      <c r="K198">
        <f t="shared" si="57"/>
        <v>3.2983325803163099E-2</v>
      </c>
      <c r="L198">
        <v>4.3990993379783294E-3</v>
      </c>
      <c r="M198">
        <f t="shared" si="49"/>
        <v>3.2983325803163099E-2</v>
      </c>
      <c r="N198">
        <f t="shared" si="50"/>
        <v>2.6132174542988799E-3</v>
      </c>
      <c r="O198">
        <v>1.8840156390168782E-10</v>
      </c>
      <c r="P198">
        <f t="shared" si="51"/>
        <v>2.613217265897316E-3</v>
      </c>
      <c r="Q198">
        <f t="shared" si="52"/>
        <v>0.99738678254570112</v>
      </c>
      <c r="R198">
        <f t="shared" si="53"/>
        <v>1</v>
      </c>
      <c r="S198">
        <v>4.5216375336405074E-7</v>
      </c>
      <c r="T198">
        <v>2.7438781291921819</v>
      </c>
      <c r="U198">
        <f t="shared" si="58"/>
        <v>2.7906731566500005</v>
      </c>
      <c r="V198">
        <v>1.3066087799018778E-3</v>
      </c>
      <c r="W198">
        <f t="shared" si="59"/>
        <v>1.3288919059469108E-3</v>
      </c>
    </row>
    <row r="199" spans="1:23">
      <c r="A199">
        <v>196</v>
      </c>
      <c r="B199">
        <f t="shared" si="45"/>
        <v>81.333333333333329</v>
      </c>
      <c r="C199">
        <f t="shared" si="46"/>
        <v>0.57013051554925032</v>
      </c>
      <c r="D199" s="21">
        <v>1.64137653876161E-10</v>
      </c>
      <c r="E199">
        <f t="shared" si="54"/>
        <v>0.12878826227890783</v>
      </c>
      <c r="F199">
        <f t="shared" si="47"/>
        <v>0.13787023440422491</v>
      </c>
      <c r="G199" s="22">
        <f t="shared" si="55"/>
        <v>1.6413765387616084E-10</v>
      </c>
      <c r="H199" s="21">
        <v>2.5269813764236299E-3</v>
      </c>
      <c r="I199">
        <f t="shared" si="48"/>
        <v>3.3556744701245589E-2</v>
      </c>
      <c r="J199" s="22">
        <f t="shared" si="56"/>
        <v>2.5269813764236299E-3</v>
      </c>
      <c r="K199">
        <f t="shared" si="57"/>
        <v>3.2999962453712839E-2</v>
      </c>
      <c r="L199">
        <v>4.3990993379783294E-3</v>
      </c>
      <c r="M199">
        <f t="shared" si="49"/>
        <v>3.2999962453712839E-2</v>
      </c>
      <c r="N199">
        <f t="shared" si="50"/>
        <v>2.5269813764236299E-3</v>
      </c>
      <c r="O199">
        <v>1.6413765387616084E-10</v>
      </c>
      <c r="P199">
        <f t="shared" si="51"/>
        <v>2.5269812122859759E-3</v>
      </c>
      <c r="Q199">
        <f t="shared" si="52"/>
        <v>0.9974730186235764</v>
      </c>
      <c r="R199">
        <f t="shared" si="53"/>
        <v>1</v>
      </c>
      <c r="S199">
        <v>3.9393036930278601E-7</v>
      </c>
      <c r="T199">
        <v>2.6533302729002748</v>
      </c>
      <c r="U199">
        <f t="shared" si="58"/>
        <v>2.6986046240932895</v>
      </c>
      <c r="V199">
        <v>1.2634907341703579E-3</v>
      </c>
      <c r="W199">
        <f t="shared" si="59"/>
        <v>1.2850497570361177E-3</v>
      </c>
    </row>
    <row r="200" spans="1:23">
      <c r="A200">
        <v>197</v>
      </c>
      <c r="B200">
        <f t="shared" si="45"/>
        <v>81.416666666666671</v>
      </c>
      <c r="C200">
        <f t="shared" si="46"/>
        <v>0.56849841418018321</v>
      </c>
      <c r="D200" s="21">
        <v>1.4297852411952399E-10</v>
      </c>
      <c r="E200">
        <f t="shared" si="54"/>
        <v>0.1289108821587106</v>
      </c>
      <c r="F200">
        <f t="shared" si="47"/>
        <v>0.1380109906686941</v>
      </c>
      <c r="G200" s="22">
        <f t="shared" si="55"/>
        <v>1.4297852411952383E-10</v>
      </c>
      <c r="H200" s="21">
        <v>2.4435492391866802E-3</v>
      </c>
      <c r="I200">
        <f t="shared" si="48"/>
        <v>3.3573869928251947E-2</v>
      </c>
      <c r="J200" s="22">
        <f t="shared" si="56"/>
        <v>2.4435492391866802E-3</v>
      </c>
      <c r="K200">
        <f t="shared" si="57"/>
        <v>3.3016522407074089E-2</v>
      </c>
      <c r="L200">
        <v>4.3990993379783294E-3</v>
      </c>
      <c r="M200">
        <f t="shared" si="49"/>
        <v>3.3016522407074089E-2</v>
      </c>
      <c r="N200">
        <f t="shared" si="50"/>
        <v>2.4435492391866802E-3</v>
      </c>
      <c r="O200">
        <v>1.4297852411952383E-10</v>
      </c>
      <c r="P200">
        <f t="shared" si="51"/>
        <v>2.4435490962081562E-3</v>
      </c>
      <c r="Q200">
        <f t="shared" si="52"/>
        <v>0.99755645076081334</v>
      </c>
      <c r="R200">
        <f t="shared" si="53"/>
        <v>1</v>
      </c>
      <c r="S200">
        <v>3.4314845788685722E-7</v>
      </c>
      <c r="T200">
        <v>2.5657265510185638</v>
      </c>
      <c r="U200">
        <f t="shared" si="58"/>
        <v>2.6095287804988327</v>
      </c>
      <c r="V200">
        <v>1.2217746596273268E-3</v>
      </c>
      <c r="W200">
        <f t="shared" si="59"/>
        <v>1.2426326968988425E-3</v>
      </c>
    </row>
    <row r="201" spans="1:23">
      <c r="A201">
        <v>198</v>
      </c>
      <c r="B201">
        <f t="shared" si="45"/>
        <v>81.5</v>
      </c>
      <c r="C201">
        <f t="shared" si="46"/>
        <v>0.56687098499547806</v>
      </c>
      <c r="D201" s="21">
        <v>1.24529578121376E-10</v>
      </c>
      <c r="E201">
        <f t="shared" si="54"/>
        <v>0.12903298667935226</v>
      </c>
      <c r="F201">
        <f t="shared" si="47"/>
        <v>0.13815117503894189</v>
      </c>
      <c r="G201" s="22">
        <f t="shared" si="55"/>
        <v>1.2452957812137587E-10</v>
      </c>
      <c r="H201" s="21">
        <v>2.3628314615193602E-3</v>
      </c>
      <c r="I201">
        <f t="shared" si="48"/>
        <v>3.3590916897644207E-2</v>
      </c>
      <c r="J201" s="22">
        <f t="shared" si="56"/>
        <v>2.3628314615193602E-3</v>
      </c>
      <c r="K201">
        <f t="shared" si="57"/>
        <v>3.3033006404317944E-2</v>
      </c>
      <c r="L201">
        <v>4.3990993379783294E-3</v>
      </c>
      <c r="M201">
        <f t="shared" si="49"/>
        <v>3.3033006404317944E-2</v>
      </c>
      <c r="N201">
        <f t="shared" si="50"/>
        <v>2.3628314615193602E-3</v>
      </c>
      <c r="O201">
        <v>1.2452957812137587E-10</v>
      </c>
      <c r="P201">
        <f t="shared" si="51"/>
        <v>2.3628313369897821E-3</v>
      </c>
      <c r="Q201">
        <f t="shared" si="52"/>
        <v>0.99763716853848061</v>
      </c>
      <c r="R201">
        <f t="shared" si="53"/>
        <v>1</v>
      </c>
      <c r="S201">
        <v>2.9887098749130209E-7</v>
      </c>
      <c r="T201">
        <v>2.4809729038392714</v>
      </c>
      <c r="U201">
        <f t="shared" si="58"/>
        <v>2.5233500484386404</v>
      </c>
      <c r="V201">
        <v>1.181415765627962E-3</v>
      </c>
      <c r="W201">
        <f t="shared" si="59"/>
        <v>1.2015952126276444E-3</v>
      </c>
    </row>
    <row r="202" spans="1:23">
      <c r="A202">
        <v>199</v>
      </c>
      <c r="B202">
        <f t="shared" si="45"/>
        <v>81.583333333333329</v>
      </c>
      <c r="C202">
        <f t="shared" si="46"/>
        <v>0.56524821462016461</v>
      </c>
      <c r="D202" s="21">
        <v>1.08446012688977E-10</v>
      </c>
      <c r="E202">
        <f t="shared" si="54"/>
        <v>0.12915458058263651</v>
      </c>
      <c r="F202">
        <f t="shared" si="47"/>
        <v>0.13829079271670833</v>
      </c>
      <c r="G202" s="22">
        <f t="shared" si="55"/>
        <v>1.084460126889769E-10</v>
      </c>
      <c r="H202" s="21">
        <v>2.2847412635575198E-3</v>
      </c>
      <c r="I202">
        <f t="shared" si="48"/>
        <v>3.3607886360578085E-2</v>
      </c>
      <c r="J202" s="22">
        <f t="shared" si="56"/>
        <v>2.2847412635575198E-3</v>
      </c>
      <c r="K202">
        <f t="shared" si="57"/>
        <v>3.3049415175649632E-2</v>
      </c>
      <c r="L202">
        <v>4.3990993379783294E-3</v>
      </c>
      <c r="M202">
        <f t="shared" si="49"/>
        <v>3.3049415175649632E-2</v>
      </c>
      <c r="N202">
        <f t="shared" si="50"/>
        <v>2.2847412635575198E-3</v>
      </c>
      <c r="O202">
        <v>1.084460126889769E-10</v>
      </c>
      <c r="P202">
        <f t="shared" si="51"/>
        <v>2.2847411551115073E-3</v>
      </c>
      <c r="Q202">
        <f t="shared" si="52"/>
        <v>0.99771525873644251</v>
      </c>
      <c r="R202">
        <f t="shared" si="53"/>
        <v>1</v>
      </c>
      <c r="S202">
        <v>2.6027043045354454E-7</v>
      </c>
      <c r="T202">
        <v>2.3989782128670827</v>
      </c>
      <c r="U202">
        <f t="shared" si="58"/>
        <v>2.4399758379238863</v>
      </c>
      <c r="V202">
        <v>1.1423706621436435E-3</v>
      </c>
      <c r="W202">
        <f t="shared" si="59"/>
        <v>1.1618932138858027E-3</v>
      </c>
    </row>
    <row r="203" spans="1:23">
      <c r="A203">
        <v>200</v>
      </c>
      <c r="B203">
        <f t="shared" si="45"/>
        <v>81.666666666666671</v>
      </c>
      <c r="C203">
        <f t="shared" si="46"/>
        <v>0.56363008971756157</v>
      </c>
      <c r="D203" s="21">
        <v>9.4426581897770398E-11</v>
      </c>
      <c r="E203">
        <f t="shared" si="54"/>
        <v>0.12927566854315165</v>
      </c>
      <c r="F203">
        <f t="shared" si="47"/>
        <v>0.13842984883048093</v>
      </c>
      <c r="G203" s="22">
        <f t="shared" si="55"/>
        <v>9.4426581897770307E-11</v>
      </c>
      <c r="H203" s="21">
        <v>2.2091945814000698E-3</v>
      </c>
      <c r="I203">
        <f t="shared" si="48"/>
        <v>3.3624779057264985E-2</v>
      </c>
      <c r="J203" s="22">
        <f t="shared" si="56"/>
        <v>2.2091945814000698E-3</v>
      </c>
      <c r="K203">
        <f t="shared" si="57"/>
        <v>3.3065749440625014E-2</v>
      </c>
      <c r="L203">
        <v>4.3990993379783294E-3</v>
      </c>
      <c r="M203">
        <f t="shared" si="49"/>
        <v>3.3065749440625014E-2</v>
      </c>
      <c r="N203">
        <f t="shared" si="50"/>
        <v>2.2091945814000698E-3</v>
      </c>
      <c r="O203">
        <v>9.4426581897770307E-11</v>
      </c>
      <c r="P203">
        <f t="shared" si="51"/>
        <v>2.2091944869734878E-3</v>
      </c>
      <c r="Q203">
        <f t="shared" si="52"/>
        <v>0.99779080541859988</v>
      </c>
      <c r="R203">
        <f t="shared" si="53"/>
        <v>1</v>
      </c>
      <c r="S203">
        <v>2.2662379655464875E-7</v>
      </c>
      <c r="T203">
        <v>2.3196542113221623</v>
      </c>
      <c r="U203">
        <f t="shared" si="58"/>
        <v>2.3593164555417361</v>
      </c>
      <c r="V203">
        <v>1.1045973171394778E-3</v>
      </c>
      <c r="W203">
        <f t="shared" si="59"/>
        <v>1.1234839896415607E-3</v>
      </c>
    </row>
    <row r="204" spans="1:23">
      <c r="A204">
        <v>201</v>
      </c>
      <c r="B204">
        <f t="shared" si="45"/>
        <v>81.75</v>
      </c>
      <c r="C204">
        <f t="shared" si="46"/>
        <v>0.5620165969891654</v>
      </c>
      <c r="D204" s="21">
        <v>8.22081358117327E-11</v>
      </c>
      <c r="E204">
        <f t="shared" si="54"/>
        <v>0.12939625516960707</v>
      </c>
      <c r="F204">
        <f t="shared" si="47"/>
        <v>0.13856834843694829</v>
      </c>
      <c r="G204" s="22">
        <f t="shared" si="55"/>
        <v>8.2208135811732623E-11</v>
      </c>
      <c r="H204" s="21">
        <v>2.13610998436872E-3</v>
      </c>
      <c r="I204">
        <f t="shared" si="48"/>
        <v>3.3641595717176662E-2</v>
      </c>
      <c r="J204" s="22">
        <f t="shared" si="56"/>
        <v>2.13610998436872E-3</v>
      </c>
      <c r="K204">
        <f t="shared" si="57"/>
        <v>3.3082009908349863E-2</v>
      </c>
      <c r="L204">
        <v>4.3990993379783294E-3</v>
      </c>
      <c r="M204">
        <f t="shared" si="49"/>
        <v>3.3082009908349863E-2</v>
      </c>
      <c r="N204">
        <f t="shared" si="50"/>
        <v>2.13610998436872E-3</v>
      </c>
      <c r="O204">
        <v>8.2208135811732623E-11</v>
      </c>
      <c r="P204">
        <f t="shared" si="51"/>
        <v>2.1361099021605843E-3</v>
      </c>
      <c r="Q204">
        <f t="shared" si="52"/>
        <v>0.99786389001563125</v>
      </c>
      <c r="R204">
        <f t="shared" si="53"/>
        <v>1</v>
      </c>
      <c r="S204">
        <v>1.972995259481583E-7</v>
      </c>
      <c r="T204">
        <v>2.2429153972686136</v>
      </c>
      <c r="U204">
        <f t="shared" si="58"/>
        <v>2.2812850162570495</v>
      </c>
      <c r="V204">
        <v>1.068055015202638E-3</v>
      </c>
      <c r="W204">
        <f t="shared" si="59"/>
        <v>1.0863261661710579E-3</v>
      </c>
    </row>
    <row r="205" spans="1:23">
      <c r="A205">
        <v>202</v>
      </c>
      <c r="B205">
        <f t="shared" si="45"/>
        <v>81.833333333333329</v>
      </c>
      <c r="C205">
        <f t="shared" si="46"/>
        <v>0.56040772317454302</v>
      </c>
      <c r="D205" s="21">
        <v>7.1560838531637602E-11</v>
      </c>
      <c r="E205">
        <f t="shared" si="54"/>
        <v>0.12951634500603193</v>
      </c>
      <c r="F205">
        <f t="shared" si="47"/>
        <v>0.13870629652229705</v>
      </c>
      <c r="G205" s="22">
        <f t="shared" si="55"/>
        <v>7.1560838531637538E-11</v>
      </c>
      <c r="H205" s="21">
        <v>2.0654085946992598E-3</v>
      </c>
      <c r="I205">
        <f t="shared" si="48"/>
        <v>3.3658337059251774E-2</v>
      </c>
      <c r="J205" s="22">
        <f t="shared" si="56"/>
        <v>2.0654085946992598E-3</v>
      </c>
      <c r="K205">
        <f t="shared" si="57"/>
        <v>3.3098197277681041E-2</v>
      </c>
      <c r="L205">
        <v>4.3990993379783294E-3</v>
      </c>
      <c r="M205">
        <f t="shared" si="49"/>
        <v>3.3098197277681041E-2</v>
      </c>
      <c r="N205">
        <f t="shared" si="50"/>
        <v>2.0654085946992598E-3</v>
      </c>
      <c r="O205">
        <v>7.1560838531637538E-11</v>
      </c>
      <c r="P205">
        <f t="shared" si="51"/>
        <v>2.0654085231384214E-3</v>
      </c>
      <c r="Q205">
        <f t="shared" si="52"/>
        <v>0.99793459140530072</v>
      </c>
      <c r="R205">
        <f t="shared" si="53"/>
        <v>1</v>
      </c>
      <c r="S205">
        <v>1.717460124759301E-7</v>
      </c>
      <c r="T205">
        <v>2.1686789492953427</v>
      </c>
      <c r="U205">
        <f t="shared" si="58"/>
        <v>2.2057973578047472</v>
      </c>
      <c r="V205">
        <v>1.0327043173866647E-3</v>
      </c>
      <c r="W205">
        <f t="shared" si="59"/>
        <v>1.0503796662946513E-3</v>
      </c>
    </row>
    <row r="206" spans="1:23">
      <c r="A206">
        <v>203</v>
      </c>
      <c r="B206">
        <f t="shared" si="45"/>
        <v>81.916666666666671</v>
      </c>
      <c r="C206">
        <f t="shared" si="46"/>
        <v>0.55880345505122098</v>
      </c>
      <c r="D206" s="21">
        <v>6.2283981780134994E-11</v>
      </c>
      <c r="E206">
        <f t="shared" si="54"/>
        <v>0.12963594253302713</v>
      </c>
      <c r="F206">
        <f t="shared" si="47"/>
        <v>0.13884369800357227</v>
      </c>
      <c r="G206" s="22">
        <f t="shared" si="55"/>
        <v>6.2283981780134943E-11</v>
      </c>
      <c r="H206" s="21">
        <v>1.9970140095965099E-3</v>
      </c>
      <c r="I206">
        <f t="shared" si="48"/>
        <v>3.3675003792108478E-2</v>
      </c>
      <c r="J206" s="22">
        <f t="shared" si="56"/>
        <v>1.9970140095965099E-3</v>
      </c>
      <c r="K206">
        <f t="shared" si="57"/>
        <v>3.3114312237433441E-2</v>
      </c>
      <c r="L206">
        <v>4.3990993379783294E-3</v>
      </c>
      <c r="M206">
        <f t="shared" si="49"/>
        <v>3.3114312237433441E-2</v>
      </c>
      <c r="N206">
        <f t="shared" si="50"/>
        <v>1.9970140095965099E-3</v>
      </c>
      <c r="O206">
        <v>6.2283981780134943E-11</v>
      </c>
      <c r="P206">
        <f t="shared" si="51"/>
        <v>1.9970139473125281E-3</v>
      </c>
      <c r="Q206">
        <f t="shared" si="52"/>
        <v>0.99800298599040349</v>
      </c>
      <c r="R206">
        <f t="shared" si="53"/>
        <v>1</v>
      </c>
      <c r="S206">
        <v>1.4948155627232386E-7</v>
      </c>
      <c r="T206">
        <v>2.0968646446781545</v>
      </c>
      <c r="U206">
        <f t="shared" si="58"/>
        <v>2.1327719576005331</v>
      </c>
      <c r="V206">
        <v>9.9850702223776983E-4</v>
      </c>
      <c r="W206">
        <f t="shared" si="59"/>
        <v>1.0156056698122171E-3</v>
      </c>
    </row>
    <row r="207" spans="1:23">
      <c r="A207">
        <v>204</v>
      </c>
      <c r="B207">
        <f t="shared" si="45"/>
        <v>82</v>
      </c>
      <c r="C207">
        <f t="shared" si="46"/>
        <v>0.55720377943457755</v>
      </c>
      <c r="D207" s="21">
        <v>5.4202320474964399E-11</v>
      </c>
      <c r="E207">
        <f t="shared" si="54"/>
        <v>0.1297550521689379</v>
      </c>
      <c r="F207">
        <f t="shared" si="47"/>
        <v>0.13898055772994866</v>
      </c>
      <c r="G207" s="22">
        <f t="shared" si="55"/>
        <v>5.4202320474964354E-11</v>
      </c>
      <c r="H207" s="21">
        <v>1.9308522255868301E-3</v>
      </c>
      <c r="I207">
        <f t="shared" si="48"/>
        <v>3.3691596614253645E-2</v>
      </c>
      <c r="J207" s="22">
        <f t="shared" si="56"/>
        <v>1.9308522255868301E-3</v>
      </c>
      <c r="K207">
        <f t="shared" si="57"/>
        <v>3.3130355466583605E-2</v>
      </c>
      <c r="L207">
        <v>5.0219559329856001E-3</v>
      </c>
      <c r="M207">
        <f t="shared" si="49"/>
        <v>3.3130355466583605E-2</v>
      </c>
      <c r="N207">
        <f t="shared" si="50"/>
        <v>1.9308522255868301E-3</v>
      </c>
      <c r="O207">
        <v>5.4202320474964354E-11</v>
      </c>
      <c r="P207">
        <f t="shared" si="51"/>
        <v>1.9308521713845095E-3</v>
      </c>
      <c r="Q207">
        <f t="shared" si="52"/>
        <v>0.99806914777441313</v>
      </c>
      <c r="R207">
        <f t="shared" si="53"/>
        <v>1</v>
      </c>
      <c r="S207">
        <v>1.3008556913991445E-7</v>
      </c>
      <c r="T207">
        <v>2.0273947799537351</v>
      </c>
      <c r="U207">
        <f t="shared" si="58"/>
        <v>2.0621298520995075</v>
      </c>
      <c r="V207">
        <v>9.6542612797006469E-4</v>
      </c>
      <c r="W207">
        <f t="shared" si="59"/>
        <v>9.8196657510391731E-4</v>
      </c>
    </row>
    <row r="208" spans="1:23">
      <c r="A208">
        <v>205</v>
      </c>
      <c r="B208">
        <f t="shared" si="45"/>
        <v>82.083333333333329</v>
      </c>
      <c r="C208">
        <f t="shared" si="46"/>
        <v>0.55560868317773493</v>
      </c>
      <c r="D208" s="21">
        <v>4.7162865744054798E-11</v>
      </c>
      <c r="E208">
        <f t="shared" si="54"/>
        <v>0.12987367827104501</v>
      </c>
      <c r="F208">
        <f t="shared" si="47"/>
        <v>0.13911688048402493</v>
      </c>
      <c r="G208" s="22">
        <f t="shared" si="55"/>
        <v>4.7162865744054759E-11</v>
      </c>
      <c r="H208" s="21">
        <v>1.8668515651039E-3</v>
      </c>
      <c r="I208">
        <f t="shared" si="48"/>
        <v>3.3708116214226182E-2</v>
      </c>
      <c r="J208" s="22">
        <f t="shared" si="56"/>
        <v>1.8668515651039E-3</v>
      </c>
      <c r="K208">
        <f t="shared" si="57"/>
        <v>3.3146327634409611E-2</v>
      </c>
      <c r="L208">
        <v>5.0219559329856001E-3</v>
      </c>
      <c r="M208">
        <f t="shared" si="49"/>
        <v>3.3146327634409611E-2</v>
      </c>
      <c r="N208">
        <f t="shared" si="50"/>
        <v>1.8668515651039E-3</v>
      </c>
      <c r="O208">
        <v>4.7162865744054759E-11</v>
      </c>
      <c r="P208">
        <f t="shared" si="51"/>
        <v>1.8668515179410341E-3</v>
      </c>
      <c r="Q208">
        <f t="shared" si="52"/>
        <v>0.99813314843489609</v>
      </c>
      <c r="R208">
        <f t="shared" si="53"/>
        <v>1</v>
      </c>
      <c r="S208">
        <v>1.1319087778573143E-7</v>
      </c>
      <c r="T208">
        <v>1.9601940938380857</v>
      </c>
      <c r="U208">
        <f t="shared" si="58"/>
        <v>1.9937945585341339</v>
      </c>
      <c r="V208">
        <v>9.334257957575524E-4</v>
      </c>
      <c r="W208">
        <f t="shared" si="59"/>
        <v>9.4942596186380849E-4</v>
      </c>
    </row>
    <row r="209" spans="1:23">
      <c r="A209">
        <v>206</v>
      </c>
      <c r="B209">
        <f t="shared" si="45"/>
        <v>82.166666666666671</v>
      </c>
      <c r="C209">
        <f t="shared" si="46"/>
        <v>0.55401815317144953</v>
      </c>
      <c r="D209" s="21">
        <v>4.1032078747308799E-11</v>
      </c>
      <c r="E209">
        <f t="shared" si="54"/>
        <v>0.12999182513668239</v>
      </c>
      <c r="F209">
        <f t="shared" si="47"/>
        <v>0.13925267098303554</v>
      </c>
      <c r="G209" s="22">
        <f t="shared" si="55"/>
        <v>4.1032078747308767E-11</v>
      </c>
      <c r="H209" s="21">
        <v>1.80494260524477E-3</v>
      </c>
      <c r="I209">
        <f t="shared" si="48"/>
        <v>3.3724563270866439E-2</v>
      </c>
      <c r="J209" s="22">
        <f t="shared" si="56"/>
        <v>1.80494260524477E-3</v>
      </c>
      <c r="K209">
        <f t="shared" si="57"/>
        <v>3.3162229400752863E-2</v>
      </c>
      <c r="L209">
        <v>5.0219559329856001E-3</v>
      </c>
      <c r="M209">
        <f t="shared" si="49"/>
        <v>3.3162229400752863E-2</v>
      </c>
      <c r="N209">
        <f t="shared" si="50"/>
        <v>1.80494260524477E-3</v>
      </c>
      <c r="O209">
        <v>4.1032078747308767E-11</v>
      </c>
      <c r="P209">
        <f t="shared" si="51"/>
        <v>1.8049425642126912E-3</v>
      </c>
      <c r="Q209">
        <f t="shared" si="52"/>
        <v>0.99819505739475523</v>
      </c>
      <c r="R209">
        <f t="shared" si="53"/>
        <v>1</v>
      </c>
      <c r="S209">
        <v>9.8476988993541045E-8</v>
      </c>
      <c r="T209">
        <v>1.8951896924233258</v>
      </c>
      <c r="U209">
        <f t="shared" si="58"/>
        <v>1.9276919989646393</v>
      </c>
      <c r="V209">
        <v>9.0247131411136708E-4</v>
      </c>
      <c r="W209">
        <f t="shared" si="59"/>
        <v>9.1794855493445974E-4</v>
      </c>
    </row>
    <row r="210" spans="1:23">
      <c r="A210">
        <v>207</v>
      </c>
      <c r="B210">
        <f t="shared" si="45"/>
        <v>82.25</v>
      </c>
      <c r="C210">
        <f t="shared" si="46"/>
        <v>0.55243217634400688</v>
      </c>
      <c r="D210" s="21">
        <v>3.5693415620452799E-11</v>
      </c>
      <c r="E210">
        <f t="shared" si="54"/>
        <v>0.1301094970043688</v>
      </c>
      <c r="F210">
        <f t="shared" si="47"/>
        <v>0.13938793388008036</v>
      </c>
      <c r="G210" s="22">
        <f t="shared" si="55"/>
        <v>3.5693415620452773E-11</v>
      </c>
      <c r="H210" s="21">
        <v>1.74505810863539E-3</v>
      </c>
      <c r="I210">
        <f t="shared" si="48"/>
        <v>3.3740938453418849E-2</v>
      </c>
      <c r="J210" s="22">
        <f t="shared" si="56"/>
        <v>1.74505810863539E-3</v>
      </c>
      <c r="K210">
        <f t="shared" si="57"/>
        <v>3.3178061416118565E-2</v>
      </c>
      <c r="L210">
        <v>5.0219559329856001E-3</v>
      </c>
      <c r="M210">
        <f t="shared" si="49"/>
        <v>3.3178061416118565E-2</v>
      </c>
      <c r="N210">
        <f t="shared" si="50"/>
        <v>1.74505810863539E-3</v>
      </c>
      <c r="O210">
        <v>3.5693415620452773E-11</v>
      </c>
      <c r="P210">
        <f t="shared" si="51"/>
        <v>1.7450580729419744E-3</v>
      </c>
      <c r="Q210">
        <f t="shared" si="52"/>
        <v>0.99825494189136466</v>
      </c>
      <c r="R210">
        <f t="shared" si="53"/>
        <v>1</v>
      </c>
      <c r="S210">
        <v>8.5664197489086649E-8</v>
      </c>
      <c r="T210">
        <v>1.832310976589073</v>
      </c>
      <c r="U210">
        <f t="shared" si="58"/>
        <v>1.8637504265767926</v>
      </c>
      <c r="V210">
        <v>8.7252906431185134E-4</v>
      </c>
      <c r="W210">
        <f t="shared" si="59"/>
        <v>8.8750018921160921E-4</v>
      </c>
    </row>
    <row r="211" spans="1:23">
      <c r="A211">
        <v>208</v>
      </c>
      <c r="B211">
        <f t="shared" si="45"/>
        <v>82.333333333333329</v>
      </c>
      <c r="C211">
        <f t="shared" si="46"/>
        <v>0.55085073966111142</v>
      </c>
      <c r="D211" s="21">
        <v>3.1045179961901497E-11</v>
      </c>
      <c r="E211">
        <f t="shared" si="54"/>
        <v>0.1302266980548592</v>
      </c>
      <c r="F211">
        <f t="shared" si="47"/>
        <v>0.13952267376526375</v>
      </c>
      <c r="G211" s="22">
        <f t="shared" si="55"/>
        <v>3.1045179961901478E-11</v>
      </c>
      <c r="H211" s="21">
        <v>1.68713295634583E-3</v>
      </c>
      <c r="I211">
        <f t="shared" si="48"/>
        <v>3.3757242421768474E-2</v>
      </c>
      <c r="J211" s="22">
        <f t="shared" si="56"/>
        <v>1.68713295634583E-3</v>
      </c>
      <c r="K211">
        <f t="shared" si="57"/>
        <v>3.3193824321905652E-2</v>
      </c>
      <c r="L211">
        <v>5.0219559329856001E-3</v>
      </c>
      <c r="M211">
        <f t="shared" si="49"/>
        <v>3.3193824321905652E-2</v>
      </c>
      <c r="N211">
        <f t="shared" si="50"/>
        <v>1.68713295634583E-3</v>
      </c>
      <c r="O211">
        <v>3.1045179961901478E-11</v>
      </c>
      <c r="P211">
        <f t="shared" si="51"/>
        <v>1.6871329253006502E-3</v>
      </c>
      <c r="Q211">
        <f t="shared" si="52"/>
        <v>0.99831286704365418</v>
      </c>
      <c r="R211">
        <f t="shared" si="53"/>
        <v>1</v>
      </c>
      <c r="S211">
        <v>7.4508431908563548E-8</v>
      </c>
      <c r="T211">
        <v>1.7714895715656827</v>
      </c>
      <c r="U211">
        <f t="shared" si="58"/>
        <v>1.8019003541636924</v>
      </c>
      <c r="V211">
        <v>8.4356648686556546E-4</v>
      </c>
      <c r="W211">
        <f t="shared" si="59"/>
        <v>8.580477755887084E-4</v>
      </c>
    </row>
    <row r="212" spans="1:23">
      <c r="A212">
        <v>209</v>
      </c>
      <c r="B212">
        <f t="shared" si="45"/>
        <v>82.416666666666671</v>
      </c>
      <c r="C212">
        <f t="shared" si="46"/>
        <v>0.5492738301257809</v>
      </c>
      <c r="D212" s="21">
        <v>2.6998644645811699E-11</v>
      </c>
      <c r="E212">
        <f t="shared" si="54"/>
        <v>0.13034343241223556</v>
      </c>
      <c r="F212">
        <f t="shared" si="47"/>
        <v>0.13965689516688079</v>
      </c>
      <c r="G212" s="22">
        <f t="shared" si="55"/>
        <v>2.6998644645811682E-11</v>
      </c>
      <c r="H212" s="21">
        <v>1.6311040827973701E-3</v>
      </c>
      <c r="I212">
        <f t="shared" si="48"/>
        <v>3.3773475826601562E-2</v>
      </c>
      <c r="J212" s="22">
        <f t="shared" si="56"/>
        <v>1.6311040827973701E-3</v>
      </c>
      <c r="K212">
        <f t="shared" si="57"/>
        <v>3.3209518750563216E-2</v>
      </c>
      <c r="L212">
        <v>5.0219559329856001E-3</v>
      </c>
      <c r="M212">
        <f t="shared" si="49"/>
        <v>3.3209518750563216E-2</v>
      </c>
      <c r="N212">
        <f t="shared" si="50"/>
        <v>1.6311040827973701E-3</v>
      </c>
      <c r="O212">
        <v>2.6998644645811682E-11</v>
      </c>
      <c r="P212">
        <f t="shared" si="51"/>
        <v>1.6311040557987254E-3</v>
      </c>
      <c r="Q212">
        <f t="shared" si="52"/>
        <v>0.99836889591720268</v>
      </c>
      <c r="R212">
        <f t="shared" si="53"/>
        <v>1</v>
      </c>
      <c r="S212">
        <v>6.4796747149948036E-8</v>
      </c>
      <c r="T212">
        <v>1.7126592585886617</v>
      </c>
      <c r="U212">
        <f t="shared" si="58"/>
        <v>1.7420744847297618</v>
      </c>
      <c r="V212">
        <v>8.155520489583055E-4</v>
      </c>
      <c r="W212">
        <f t="shared" si="59"/>
        <v>8.2955926791193548E-4</v>
      </c>
    </row>
    <row r="213" spans="1:23">
      <c r="A213">
        <v>210</v>
      </c>
      <c r="B213">
        <f t="shared" si="45"/>
        <v>82.5</v>
      </c>
      <c r="C213">
        <f t="shared" si="46"/>
        <v>0.54770143477823985</v>
      </c>
      <c r="D213" s="21">
        <v>2.3476409453004701E-11</v>
      </c>
      <c r="E213">
        <f t="shared" si="54"/>
        <v>0.13045970414494135</v>
      </c>
      <c r="F213">
        <f t="shared" si="47"/>
        <v>0.13979060255254019</v>
      </c>
      <c r="G213" s="22">
        <f t="shared" si="55"/>
        <v>2.3476409453004685E-11</v>
      </c>
      <c r="H213" s="21">
        <v>1.57691041260502E-3</v>
      </c>
      <c r="I213">
        <f t="shared" si="48"/>
        <v>3.3789639309558694E-2</v>
      </c>
      <c r="J213" s="22">
        <f t="shared" si="56"/>
        <v>1.57691041260502E-3</v>
      </c>
      <c r="K213">
        <f t="shared" si="57"/>
        <v>3.3225145325739724E-2</v>
      </c>
      <c r="L213">
        <v>5.0219559329856001E-3</v>
      </c>
      <c r="M213">
        <f t="shared" si="49"/>
        <v>3.3225145325739724E-2</v>
      </c>
      <c r="N213">
        <f t="shared" si="50"/>
        <v>1.57691041260502E-3</v>
      </c>
      <c r="O213">
        <v>2.3476409453004685E-11</v>
      </c>
      <c r="P213">
        <f t="shared" si="51"/>
        <v>1.5769103891286106E-3</v>
      </c>
      <c r="Q213">
        <f t="shared" si="52"/>
        <v>0.99842308958739501</v>
      </c>
      <c r="R213">
        <f t="shared" si="53"/>
        <v>1</v>
      </c>
      <c r="S213">
        <v>5.6343382687211243E-8</v>
      </c>
      <c r="T213">
        <v>1.6557559085850411</v>
      </c>
      <c r="U213">
        <f t="shared" si="58"/>
        <v>1.6842076441569163</v>
      </c>
      <c r="V213">
        <v>7.884552128759047E-4</v>
      </c>
      <c r="W213">
        <f t="shared" si="59"/>
        <v>8.0200363091710515E-4</v>
      </c>
    </row>
    <row r="214" spans="1:23">
      <c r="A214">
        <v>211</v>
      </c>
      <c r="B214">
        <f t="shared" si="45"/>
        <v>82.583333333333329</v>
      </c>
      <c r="C214">
        <f t="shared" si="46"/>
        <v>0.54613354069581133</v>
      </c>
      <c r="D214" s="21">
        <v>2.04109651451122E-11</v>
      </c>
      <c r="E214">
        <f t="shared" si="54"/>
        <v>0.13057551726676675</v>
      </c>
      <c r="F214">
        <f t="shared" si="47"/>
        <v>0.13992380033023258</v>
      </c>
      <c r="G214" s="22">
        <f t="shared" si="55"/>
        <v>2.0410965145112187E-11</v>
      </c>
      <c r="H214" s="21">
        <v>1.52449279930045E-3</v>
      </c>
      <c r="I214">
        <f t="shared" si="48"/>
        <v>3.3805733503422239E-2</v>
      </c>
      <c r="J214" s="22">
        <f t="shared" si="56"/>
        <v>1.52449279930045E-3</v>
      </c>
      <c r="K214">
        <f t="shared" si="57"/>
        <v>3.3240704662465426E-2</v>
      </c>
      <c r="L214">
        <v>5.0219559329856001E-3</v>
      </c>
      <c r="M214">
        <f t="shared" si="49"/>
        <v>3.3240704662465426E-2</v>
      </c>
      <c r="N214">
        <f t="shared" si="50"/>
        <v>1.52449279930045E-3</v>
      </c>
      <c r="O214">
        <v>2.0410965145112187E-11</v>
      </c>
      <c r="P214">
        <f t="shared" si="51"/>
        <v>1.5244927788894847E-3</v>
      </c>
      <c r="Q214">
        <f t="shared" si="52"/>
        <v>0.99847550720069955</v>
      </c>
      <c r="R214">
        <f t="shared" si="53"/>
        <v>1</v>
      </c>
      <c r="S214">
        <v>4.898631634826925E-8</v>
      </c>
      <c r="T214">
        <v>1.6007174178339589</v>
      </c>
      <c r="U214">
        <f t="shared" si="58"/>
        <v>1.6282367158743494</v>
      </c>
      <c r="V214">
        <v>7.6224640536529521E-4</v>
      </c>
      <c r="W214">
        <f t="shared" si="59"/>
        <v>7.753508091205999E-4</v>
      </c>
    </row>
    <row r="215" spans="1:23">
      <c r="A215">
        <v>212</v>
      </c>
      <c r="B215">
        <f t="shared" si="45"/>
        <v>82.666666666666671</v>
      </c>
      <c r="C215">
        <f t="shared" si="46"/>
        <v>0.54457013499281315</v>
      </c>
      <c r="D215" s="21">
        <v>1.7743438235642301E-11</v>
      </c>
      <c r="E215">
        <f t="shared" si="54"/>
        <v>0.13069087573787219</v>
      </c>
      <c r="F215">
        <f t="shared" si="47"/>
        <v>0.14005649284944377</v>
      </c>
      <c r="G215" s="22">
        <f t="shared" si="55"/>
        <v>1.7743438235642291E-11</v>
      </c>
      <c r="H215" s="21">
        <v>1.4737939658818801E-3</v>
      </c>
      <c r="I215">
        <f t="shared" si="48"/>
        <v>3.382175903227233E-2</v>
      </c>
      <c r="J215" s="22">
        <f t="shared" si="56"/>
        <v>1.4737939658818801E-3</v>
      </c>
      <c r="K215">
        <f t="shared" si="57"/>
        <v>3.325619736730423E-2</v>
      </c>
      <c r="L215">
        <v>5.0219559329856001E-3</v>
      </c>
      <c r="M215">
        <f t="shared" si="49"/>
        <v>3.325619736730423E-2</v>
      </c>
      <c r="N215">
        <f t="shared" si="50"/>
        <v>1.4737939658818801E-3</v>
      </c>
      <c r="O215">
        <v>1.7743438235642291E-11</v>
      </c>
      <c r="P215">
        <f t="shared" si="51"/>
        <v>1.4737939481384418E-3</v>
      </c>
      <c r="Q215">
        <f t="shared" si="52"/>
        <v>0.99852620603411812</v>
      </c>
      <c r="R215">
        <f t="shared" si="53"/>
        <v>1</v>
      </c>
      <c r="S215">
        <v>4.2584251765541499E-8</v>
      </c>
      <c r="T215">
        <v>1.547483645545364</v>
      </c>
      <c r="U215">
        <f t="shared" si="58"/>
        <v>1.5741005774749455</v>
      </c>
      <c r="V215">
        <v>7.3689698790910274E-4</v>
      </c>
      <c r="W215">
        <f t="shared" si="59"/>
        <v>7.4957169663719897E-4</v>
      </c>
    </row>
    <row r="216" spans="1:23">
      <c r="A216">
        <v>213</v>
      </c>
      <c r="B216">
        <f t="shared" si="45"/>
        <v>82.75</v>
      </c>
      <c r="C216">
        <f t="shared" si="46"/>
        <v>0.54301120482044984</v>
      </c>
      <c r="D216" s="21">
        <v>1.54224938958533E-11</v>
      </c>
      <c r="E216">
        <f t="shared" si="54"/>
        <v>0.13080578346573113</v>
      </c>
      <c r="F216">
        <f t="shared" si="47"/>
        <v>0.14018868440217744</v>
      </c>
      <c r="G216" s="22">
        <f t="shared" si="55"/>
        <v>1.5422493895853291E-11</v>
      </c>
      <c r="H216" s="21">
        <v>1.4247584471387899E-3</v>
      </c>
      <c r="I216">
        <f t="shared" si="48"/>
        <v>3.3837716511677982E-2</v>
      </c>
      <c r="J216" s="22">
        <f t="shared" si="56"/>
        <v>1.4247584471387899E-3</v>
      </c>
      <c r="K216">
        <f t="shared" si="57"/>
        <v>3.327162403853956E-2</v>
      </c>
      <c r="L216">
        <v>5.0219559329856001E-3</v>
      </c>
      <c r="M216">
        <f t="shared" si="49"/>
        <v>3.327162403853956E-2</v>
      </c>
      <c r="N216">
        <f t="shared" si="50"/>
        <v>1.4247584471387899E-3</v>
      </c>
      <c r="O216">
        <v>1.5422493895853291E-11</v>
      </c>
      <c r="P216">
        <f t="shared" si="51"/>
        <v>1.4247584317162961E-3</v>
      </c>
      <c r="Q216">
        <f t="shared" si="52"/>
        <v>0.99857524155286126</v>
      </c>
      <c r="R216">
        <f t="shared" si="53"/>
        <v>1</v>
      </c>
      <c r="S216">
        <v>3.7013985350047895E-8</v>
      </c>
      <c r="T216">
        <v>1.495996353302111</v>
      </c>
      <c r="U216">
        <f t="shared" si="58"/>
        <v>1.5217400392228559</v>
      </c>
      <c r="V216">
        <v>7.1237922788769327E-4</v>
      </c>
      <c r="W216">
        <f t="shared" si="59"/>
        <v>7.24638107898398E-4</v>
      </c>
    </row>
    <row r="217" spans="1:23">
      <c r="A217">
        <v>214</v>
      </c>
      <c r="B217">
        <f t="shared" si="45"/>
        <v>82.833333333333329</v>
      </c>
      <c r="C217">
        <f t="shared" si="46"/>
        <v>0.5414567373667083</v>
      </c>
      <c r="D217" s="21">
        <v>1.3403377227199299E-11</v>
      </c>
      <c r="E217">
        <f t="shared" si="54"/>
        <v>0.13092024430607085</v>
      </c>
      <c r="F217">
        <f t="shared" si="47"/>
        <v>0.14032037922397639</v>
      </c>
      <c r="G217" s="22">
        <f t="shared" si="55"/>
        <v>1.3403377227199291E-11</v>
      </c>
      <c r="H217" s="21">
        <v>1.3773325337009101E-3</v>
      </c>
      <c r="I217">
        <f t="shared" si="48"/>
        <v>3.3853606548778302E-2</v>
      </c>
      <c r="J217" s="22">
        <f t="shared" si="56"/>
        <v>1.3773325337009101E-3</v>
      </c>
      <c r="K217">
        <f t="shared" si="57"/>
        <v>3.3286985266253954E-2</v>
      </c>
      <c r="L217">
        <v>5.0219559329856001E-3</v>
      </c>
      <c r="M217">
        <f t="shared" si="49"/>
        <v>3.3286985266253954E-2</v>
      </c>
      <c r="N217">
        <f t="shared" si="50"/>
        <v>1.3773325337009101E-3</v>
      </c>
      <c r="O217">
        <v>1.3403377227199291E-11</v>
      </c>
      <c r="P217">
        <f t="shared" si="51"/>
        <v>1.3773325202975329E-3</v>
      </c>
      <c r="Q217">
        <f t="shared" si="52"/>
        <v>0.99862266746629913</v>
      </c>
      <c r="R217">
        <f t="shared" si="53"/>
        <v>1</v>
      </c>
      <c r="S217">
        <v>3.2168105345278301E-8</v>
      </c>
      <c r="T217">
        <v>1.4461991463124095</v>
      </c>
      <c r="U217">
        <f t="shared" si="58"/>
        <v>1.4710977843983057</v>
      </c>
      <c r="V217">
        <v>6.8866627060340069E-4</v>
      </c>
      <c r="W217">
        <f t="shared" si="59"/>
        <v>7.0052274924554698E-4</v>
      </c>
    </row>
    <row r="218" spans="1:23">
      <c r="A218">
        <v>215</v>
      </c>
      <c r="B218">
        <f t="shared" si="45"/>
        <v>82.916666666666671</v>
      </c>
      <c r="C218">
        <f t="shared" si="46"/>
        <v>0.53990671985625205</v>
      </c>
      <c r="D218" s="21">
        <v>1.1647075583070001E-11</v>
      </c>
      <c r="E218">
        <f t="shared" si="54"/>
        <v>0.13103426206383706</v>
      </c>
      <c r="F218">
        <f t="shared" si="47"/>
        <v>0.14045158149497289</v>
      </c>
      <c r="G218" s="22">
        <f t="shared" si="55"/>
        <v>1.1647075583069994E-11</v>
      </c>
      <c r="H218" s="21">
        <v>1.3314642177619199E-3</v>
      </c>
      <c r="I218">
        <f t="shared" si="48"/>
        <v>3.3869429742516506E-2</v>
      </c>
      <c r="J218" s="22">
        <f t="shared" si="56"/>
        <v>1.3314642177619199E-3</v>
      </c>
      <c r="K218">
        <f t="shared" si="57"/>
        <v>3.330228163255633E-2</v>
      </c>
      <c r="L218">
        <v>5.0219559329856001E-3</v>
      </c>
      <c r="M218">
        <f t="shared" si="49"/>
        <v>3.330228163255633E-2</v>
      </c>
      <c r="N218">
        <f t="shared" si="50"/>
        <v>1.3314642177619199E-3</v>
      </c>
      <c r="O218">
        <v>1.1647075583069994E-11</v>
      </c>
      <c r="P218">
        <f t="shared" si="51"/>
        <v>1.3314642061148442E-3</v>
      </c>
      <c r="Q218">
        <f t="shared" si="52"/>
        <v>0.99866853578223813</v>
      </c>
      <c r="R218">
        <f t="shared" si="53"/>
        <v>1</v>
      </c>
      <c r="S218">
        <v>2.7952981399367987E-8</v>
      </c>
      <c r="T218">
        <v>1.3980374164205864</v>
      </c>
      <c r="U218">
        <f t="shared" si="58"/>
        <v>1.4221183114270413</v>
      </c>
      <c r="V218">
        <v>6.657321121421411E-4</v>
      </c>
      <c r="W218">
        <f t="shared" si="59"/>
        <v>6.7719919137277089E-4</v>
      </c>
    </row>
    <row r="219" spans="1:23">
      <c r="A219">
        <v>216</v>
      </c>
      <c r="B219">
        <f t="shared" si="45"/>
        <v>83</v>
      </c>
      <c r="C219">
        <f t="shared" si="46"/>
        <v>0.53836113955031661</v>
      </c>
      <c r="D219" s="21">
        <v>1.0119586772279499E-11</v>
      </c>
      <c r="E219">
        <f t="shared" si="54"/>
        <v>0.13114784049404071</v>
      </c>
      <c r="F219">
        <f t="shared" si="47"/>
        <v>0.14058229534080513</v>
      </c>
      <c r="G219" s="22">
        <f t="shared" si="55"/>
        <v>1.0119586772279495E-11</v>
      </c>
      <c r="H219" s="21">
        <v>1.28710314043002E-3</v>
      </c>
      <c r="I219">
        <f t="shared" si="48"/>
        <v>3.3885186683744892E-2</v>
      </c>
      <c r="J219" s="22">
        <f t="shared" si="56"/>
        <v>1.28710314043002E-3</v>
      </c>
      <c r="K219">
        <f t="shared" si="57"/>
        <v>3.3317513711684454E-2</v>
      </c>
      <c r="L219">
        <v>5.6374247479431538E-3</v>
      </c>
      <c r="M219">
        <f t="shared" si="49"/>
        <v>3.3317513711684454E-2</v>
      </c>
      <c r="N219">
        <f t="shared" si="50"/>
        <v>1.28710314043002E-3</v>
      </c>
      <c r="O219">
        <v>1.0119586772279495E-11</v>
      </c>
      <c r="P219">
        <f t="shared" si="51"/>
        <v>1.2871031303104332E-3</v>
      </c>
      <c r="Q219">
        <f t="shared" si="52"/>
        <v>0.99871289685956999</v>
      </c>
      <c r="R219">
        <f t="shared" si="53"/>
        <v>1</v>
      </c>
      <c r="S219">
        <v>2.4287008253470788E-8</v>
      </c>
      <c r="T219">
        <v>1.3514582868259548</v>
      </c>
      <c r="U219">
        <f t="shared" si="58"/>
        <v>1.3747478777432653</v>
      </c>
      <c r="V219">
        <v>6.4355157304849431E-4</v>
      </c>
      <c r="W219">
        <f t="shared" si="59"/>
        <v>6.5464184259531771E-4</v>
      </c>
    </row>
    <row r="220" spans="1:23">
      <c r="A220">
        <v>217</v>
      </c>
      <c r="B220">
        <f t="shared" si="45"/>
        <v>83.083333333333329</v>
      </c>
      <c r="C220">
        <f t="shared" si="46"/>
        <v>0.53681998374660367</v>
      </c>
      <c r="D220" s="21">
        <v>8.7912798619333793E-12</v>
      </c>
      <c r="E220">
        <f t="shared" si="54"/>
        <v>0.131260983302672</v>
      </c>
      <c r="F220">
        <f t="shared" si="47"/>
        <v>0.14071252483361185</v>
      </c>
      <c r="G220" s="22">
        <f t="shared" si="55"/>
        <v>8.791279861933376E-12</v>
      </c>
      <c r="H220" s="21">
        <v>1.24420054065856E-3</v>
      </c>
      <c r="I220">
        <f t="shared" si="48"/>
        <v>3.3900877955385475E-2</v>
      </c>
      <c r="J220" s="22">
        <f t="shared" si="56"/>
        <v>1.24420054065856E-3</v>
      </c>
      <c r="K220">
        <f t="shared" si="57"/>
        <v>3.3332682070161268E-2</v>
      </c>
      <c r="L220">
        <v>5.6374247479431538E-3</v>
      </c>
      <c r="M220">
        <f t="shared" si="49"/>
        <v>3.3332682070161268E-2</v>
      </c>
      <c r="N220">
        <f t="shared" si="50"/>
        <v>1.24420054065856E-3</v>
      </c>
      <c r="O220">
        <v>8.791279861933376E-12</v>
      </c>
      <c r="P220">
        <f t="shared" si="51"/>
        <v>1.2442005318672802E-3</v>
      </c>
      <c r="Q220">
        <f t="shared" si="52"/>
        <v>0.99875579945934145</v>
      </c>
      <c r="R220">
        <f t="shared" si="53"/>
        <v>1</v>
      </c>
      <c r="S220">
        <v>2.1099071668640101E-8</v>
      </c>
      <c r="T220">
        <v>1.3064105584606442</v>
      </c>
      <c r="U220">
        <f t="shared" si="58"/>
        <v>1.3289344453363394</v>
      </c>
      <c r="V220">
        <v>6.2210027279083842E-4</v>
      </c>
      <c r="W220">
        <f t="shared" si="59"/>
        <v>6.3282592291966631E-4</v>
      </c>
    </row>
    <row r="221" spans="1:23">
      <c r="A221">
        <v>218</v>
      </c>
      <c r="B221">
        <f t="shared" si="45"/>
        <v>83.166666666666671</v>
      </c>
      <c r="C221">
        <f t="shared" si="46"/>
        <v>0.53528323977917847</v>
      </c>
      <c r="D221" s="21">
        <v>7.6363369501862199E-12</v>
      </c>
      <c r="E221">
        <f t="shared" si="54"/>
        <v>0.13137369414755096</v>
      </c>
      <c r="F221">
        <f t="shared" si="47"/>
        <v>0.14084227399295579</v>
      </c>
      <c r="G221" s="22">
        <f t="shared" si="55"/>
        <v>7.6363369501862166E-12</v>
      </c>
      <c r="H221" s="21">
        <v>1.2027092057112999E-3</v>
      </c>
      <c r="I221">
        <f t="shared" si="48"/>
        <v>3.3916504132551428E-2</v>
      </c>
      <c r="J221" s="22">
        <f t="shared" si="56"/>
        <v>1.2027092057112999E-3</v>
      </c>
      <c r="K221">
        <f t="shared" si="57"/>
        <v>3.3347787266913231E-2</v>
      </c>
      <c r="L221">
        <v>5.6374247479431538E-3</v>
      </c>
      <c r="M221">
        <f t="shared" si="49"/>
        <v>3.3347787266913231E-2</v>
      </c>
      <c r="N221">
        <f t="shared" si="50"/>
        <v>1.2027092057112999E-3</v>
      </c>
      <c r="O221">
        <v>7.6363369501862166E-12</v>
      </c>
      <c r="P221">
        <f t="shared" si="51"/>
        <v>1.2027091980749631E-3</v>
      </c>
      <c r="Q221">
        <f t="shared" si="52"/>
        <v>0.99879729079428869</v>
      </c>
      <c r="R221">
        <f t="shared" si="53"/>
        <v>1</v>
      </c>
      <c r="S221">
        <v>1.8327208680446921E-8</v>
      </c>
      <c r="T221">
        <v>1.2628446579787111</v>
      </c>
      <c r="U221">
        <f t="shared" si="58"/>
        <v>1.2846276279328177</v>
      </c>
      <c r="V221">
        <v>6.0135460499382437E-4</v>
      </c>
      <c r="W221">
        <f t="shared" si="59"/>
        <v>6.1172743889233139E-4</v>
      </c>
    </row>
    <row r="222" spans="1:23">
      <c r="A222">
        <v>219</v>
      </c>
      <c r="B222">
        <f t="shared" si="45"/>
        <v>83.25</v>
      </c>
      <c r="C222">
        <f t="shared" si="46"/>
        <v>0.53375089501836426</v>
      </c>
      <c r="D222" s="21">
        <v>6.6322657283450303E-12</v>
      </c>
      <c r="E222">
        <f t="shared" si="54"/>
        <v>0.1314859766391927</v>
      </c>
      <c r="F222">
        <f t="shared" si="47"/>
        <v>0.1409715467867651</v>
      </c>
      <c r="G222" s="22">
        <f t="shared" si="55"/>
        <v>6.6322657283450279E-12</v>
      </c>
      <c r="H222" s="21">
        <v>1.1625834231179799E-3</v>
      </c>
      <c r="I222">
        <f t="shared" si="48"/>
        <v>3.393206578272849E-2</v>
      </c>
      <c r="J222" s="22">
        <f t="shared" si="56"/>
        <v>1.1625834231179799E-3</v>
      </c>
      <c r="K222">
        <f t="shared" si="57"/>
        <v>3.3362829853446629E-2</v>
      </c>
      <c r="L222">
        <v>5.6374247479431538E-3</v>
      </c>
      <c r="M222">
        <f t="shared" si="49"/>
        <v>3.3362829853446629E-2</v>
      </c>
      <c r="N222">
        <f t="shared" si="50"/>
        <v>1.1625834231179799E-3</v>
      </c>
      <c r="O222">
        <v>6.6322657283450279E-12</v>
      </c>
      <c r="P222">
        <f t="shared" si="51"/>
        <v>1.1625834164857142E-3</v>
      </c>
      <c r="Q222">
        <f t="shared" si="52"/>
        <v>0.99883741657688208</v>
      </c>
      <c r="R222">
        <f t="shared" si="53"/>
        <v>1</v>
      </c>
      <c r="S222">
        <v>1.5917437748028067E-8</v>
      </c>
      <c r="T222">
        <v>1.22071258731</v>
      </c>
      <c r="U222">
        <f t="shared" si="58"/>
        <v>1.2417786397666788</v>
      </c>
      <c r="V222">
        <v>5.8129171341602434E-4</v>
      </c>
      <c r="W222">
        <f t="shared" si="59"/>
        <v>5.9132315920492435E-4</v>
      </c>
    </row>
    <row r="223" spans="1:23">
      <c r="A223">
        <v>220</v>
      </c>
      <c r="B223">
        <f t="shared" si="45"/>
        <v>83.333333333333329</v>
      </c>
      <c r="C223">
        <f t="shared" si="46"/>
        <v>0.53222293687063904</v>
      </c>
      <c r="D223" s="21">
        <v>5.7594739217167397E-12</v>
      </c>
      <c r="E223">
        <f t="shared" si="54"/>
        <v>0.13159783434161054</v>
      </c>
      <c r="F223">
        <f t="shared" si="47"/>
        <v>0.14110034713220451</v>
      </c>
      <c r="G223" s="22">
        <f t="shared" si="55"/>
        <v>5.7594739217167381E-12</v>
      </c>
      <c r="H223" s="21">
        <v>1.12377893407725E-3</v>
      </c>
      <c r="I223">
        <f t="shared" si="48"/>
        <v>3.3947563465880223E-2</v>
      </c>
      <c r="J223" s="22">
        <f t="shared" si="56"/>
        <v>1.12377893407725E-3</v>
      </c>
      <c r="K223">
        <f t="shared" si="57"/>
        <v>3.3377810373950267E-2</v>
      </c>
      <c r="L223">
        <v>5.6374247479431538E-3</v>
      </c>
      <c r="M223">
        <f t="shared" si="49"/>
        <v>3.3377810373950267E-2</v>
      </c>
      <c r="N223">
        <f t="shared" si="50"/>
        <v>1.12377893407725E-3</v>
      </c>
      <c r="O223">
        <v>5.7594739217167381E-12</v>
      </c>
      <c r="P223">
        <f t="shared" si="51"/>
        <v>1.1237789283177761E-3</v>
      </c>
      <c r="Q223">
        <f t="shared" si="52"/>
        <v>0.99887622106592278</v>
      </c>
      <c r="R223">
        <f t="shared" si="53"/>
        <v>1</v>
      </c>
      <c r="S223">
        <v>1.3822737412120171E-8</v>
      </c>
      <c r="T223">
        <v>1.179967874733665</v>
      </c>
      <c r="U223">
        <f t="shared" si="58"/>
        <v>1.2003402458919201</v>
      </c>
      <c r="V223">
        <v>5.6188946865127771E-4</v>
      </c>
      <c r="W223">
        <f t="shared" si="59"/>
        <v>5.7159059103365102E-4</v>
      </c>
    </row>
    <row r="224" spans="1:23">
      <c r="A224">
        <v>221</v>
      </c>
      <c r="B224">
        <f t="shared" si="45"/>
        <v>83.416666666666671</v>
      </c>
      <c r="C224">
        <f t="shared" si="46"/>
        <v>0.53069935277853253</v>
      </c>
      <c r="D224" s="21">
        <v>5.0008978114505798E-12</v>
      </c>
      <c r="E224">
        <f t="shared" si="54"/>
        <v>0.13170927077312811</v>
      </c>
      <c r="F224">
        <f t="shared" si="47"/>
        <v>0.1412286788965581</v>
      </c>
      <c r="G224" s="22">
        <f t="shared" si="55"/>
        <v>5.0008978114505782E-12</v>
      </c>
      <c r="H224" s="21">
        <v>1.08625288826508E-3</v>
      </c>
      <c r="I224">
        <f t="shared" si="48"/>
        <v>3.3962997734546647E-2</v>
      </c>
      <c r="J224" s="22">
        <f t="shared" si="56"/>
        <v>1.08625288826508E-3</v>
      </c>
      <c r="K224">
        <f t="shared" si="57"/>
        <v>3.3392729365391727E-2</v>
      </c>
      <c r="L224">
        <v>5.6374247479431538E-3</v>
      </c>
      <c r="M224">
        <f t="shared" si="49"/>
        <v>3.3392729365391727E-2</v>
      </c>
      <c r="N224">
        <f t="shared" si="50"/>
        <v>1.08625288826508E-3</v>
      </c>
      <c r="O224">
        <v>5.0008978114505782E-12</v>
      </c>
      <c r="P224">
        <f t="shared" si="51"/>
        <v>1.0862528832641821E-3</v>
      </c>
      <c r="Q224">
        <f t="shared" si="52"/>
        <v>0.99891374711173497</v>
      </c>
      <c r="R224">
        <f t="shared" si="53"/>
        <v>1</v>
      </c>
      <c r="S224">
        <v>1.2002154747481388E-8</v>
      </c>
      <c r="T224">
        <v>1.1405655274273911</v>
      </c>
      <c r="U224">
        <f t="shared" si="58"/>
        <v>1.1602667139929741</v>
      </c>
      <c r="V224">
        <v>5.4312644553279133E-4</v>
      </c>
      <c r="W224">
        <f t="shared" si="59"/>
        <v>5.5250795709203457E-4</v>
      </c>
    </row>
    <row r="225" spans="1:23">
      <c r="A225">
        <v>222</v>
      </c>
      <c r="B225">
        <f t="shared" si="45"/>
        <v>83.5</v>
      </c>
      <c r="C225">
        <f t="shared" si="46"/>
        <v>0.52918013022052157</v>
      </c>
      <c r="D225" s="21">
        <v>4.3416780146494702E-12</v>
      </c>
      <c r="E225">
        <f t="shared" si="54"/>
        <v>0.13182028940717216</v>
      </c>
      <c r="F225">
        <f t="shared" si="47"/>
        <v>0.14135654589809124</v>
      </c>
      <c r="G225" s="22">
        <f t="shared" si="55"/>
        <v>4.3416780146494694E-12</v>
      </c>
      <c r="H225" s="21">
        <v>1.0499638000077401E-3</v>
      </c>
      <c r="I225">
        <f t="shared" si="48"/>
        <v>3.3978369134099233E-2</v>
      </c>
      <c r="J225" s="22">
        <f t="shared" si="56"/>
        <v>1.0499638000077401E-3</v>
      </c>
      <c r="K225">
        <f t="shared" si="57"/>
        <v>3.3407587357764723E-2</v>
      </c>
      <c r="L225">
        <v>5.6374247479431538E-3</v>
      </c>
      <c r="M225">
        <f t="shared" si="49"/>
        <v>3.3407587357764723E-2</v>
      </c>
      <c r="N225">
        <f t="shared" si="50"/>
        <v>1.0499638000077401E-3</v>
      </c>
      <c r="O225">
        <v>4.3416780146494694E-12</v>
      </c>
      <c r="P225">
        <f t="shared" si="51"/>
        <v>1.049963795666062E-3</v>
      </c>
      <c r="Q225">
        <f t="shared" si="52"/>
        <v>0.99895003619999223</v>
      </c>
      <c r="R225">
        <f t="shared" si="53"/>
        <v>1</v>
      </c>
      <c r="S225">
        <v>1.0420027235158727E-8</v>
      </c>
      <c r="T225">
        <v>1.1024619854493651</v>
      </c>
      <c r="U225">
        <f t="shared" si="58"/>
        <v>1.1215137676494691</v>
      </c>
      <c r="V225">
        <v>5.2498190121953985E-4</v>
      </c>
      <c r="W225">
        <f t="shared" si="59"/>
        <v>5.3405417337616559E-4</v>
      </c>
    </row>
    <row r="226" spans="1:23">
      <c r="A226">
        <v>223</v>
      </c>
      <c r="B226">
        <f t="shared" si="45"/>
        <v>83.583333333333329</v>
      </c>
      <c r="C226">
        <f t="shared" si="46"/>
        <v>0.5276652567109289</v>
      </c>
      <c r="D226" s="21">
        <v>3.7688765541361604E-12</v>
      </c>
      <c r="E226">
        <f t="shared" si="54"/>
        <v>0.13193089367304345</v>
      </c>
      <c r="F226">
        <f t="shared" si="47"/>
        <v>0.14148395190688795</v>
      </c>
      <c r="G226" s="22">
        <f t="shared" si="55"/>
        <v>3.7688765541361596E-12</v>
      </c>
      <c r="H226" s="21">
        <v>1.01487150578008E-3</v>
      </c>
      <c r="I226">
        <f t="shared" si="48"/>
        <v>3.3993678202681059E-2</v>
      </c>
      <c r="J226" s="22">
        <f t="shared" si="56"/>
        <v>1.01487150578008E-3</v>
      </c>
      <c r="K226">
        <f t="shared" si="57"/>
        <v>3.3422384874032152E-2</v>
      </c>
      <c r="L226">
        <v>5.6374247479431538E-3</v>
      </c>
      <c r="M226">
        <f t="shared" si="49"/>
        <v>3.3422384874032152E-2</v>
      </c>
      <c r="N226">
        <f t="shared" si="50"/>
        <v>1.01487150578008E-3</v>
      </c>
      <c r="O226">
        <v>3.7688765541361596E-12</v>
      </c>
      <c r="P226">
        <f t="shared" si="51"/>
        <v>1.0148715020112035E-3</v>
      </c>
      <c r="Q226">
        <f t="shared" si="52"/>
        <v>0.99898512849421994</v>
      </c>
      <c r="R226">
        <f t="shared" si="53"/>
        <v>1</v>
      </c>
      <c r="S226">
        <v>9.0453037299267826E-9</v>
      </c>
      <c r="T226">
        <v>1.0656150771117636</v>
      </c>
      <c r="U226">
        <f t="shared" si="58"/>
        <v>1.0840385410132298</v>
      </c>
      <c r="V226">
        <v>5.0743575394532542E-4</v>
      </c>
      <c r="W226">
        <f t="shared" si="59"/>
        <v>5.1620882758243269E-4</v>
      </c>
    </row>
    <row r="227" spans="1:23">
      <c r="A227">
        <v>224</v>
      </c>
      <c r="B227">
        <f t="shared" si="45"/>
        <v>83.666666666666671</v>
      </c>
      <c r="C227">
        <f t="shared" si="46"/>
        <v>0.52615471979981954</v>
      </c>
      <c r="D227" s="21">
        <v>3.2712299973224802E-12</v>
      </c>
      <c r="E227">
        <f t="shared" si="54"/>
        <v>0.13204108695667871</v>
      </c>
      <c r="F227">
        <f t="shared" si="47"/>
        <v>0.14161090064567988</v>
      </c>
      <c r="G227" s="22">
        <f t="shared" si="55"/>
        <v>3.2712299973224794E-12</v>
      </c>
      <c r="H227" s="21">
        <v>9.8093712299013899E-4</v>
      </c>
      <c r="I227">
        <f t="shared" si="48"/>
        <v>3.4008925471538345E-2</v>
      </c>
      <c r="J227" s="22">
        <f t="shared" si="56"/>
        <v>9.8093712299013899E-4</v>
      </c>
      <c r="K227">
        <f t="shared" si="57"/>
        <v>3.3437122430447386E-2</v>
      </c>
      <c r="L227">
        <v>5.6374247479431538E-3</v>
      </c>
      <c r="M227">
        <f t="shared" si="49"/>
        <v>3.3437122430447386E-2</v>
      </c>
      <c r="N227">
        <f t="shared" si="50"/>
        <v>9.8093712299013899E-4</v>
      </c>
      <c r="O227">
        <v>3.2712299973224794E-12</v>
      </c>
      <c r="P227">
        <f t="shared" si="51"/>
        <v>9.8093711971890892E-4</v>
      </c>
      <c r="Q227">
        <f t="shared" si="52"/>
        <v>0.99901906287700981</v>
      </c>
      <c r="R227">
        <f t="shared" si="53"/>
        <v>1</v>
      </c>
      <c r="S227">
        <v>7.8509519935739497E-9</v>
      </c>
      <c r="T227">
        <v>1.0299839757048543</v>
      </c>
      <c r="U227">
        <f t="shared" si="58"/>
        <v>1.0477995348564368</v>
      </c>
      <c r="V227">
        <v>4.904685624110139E-4</v>
      </c>
      <c r="W227">
        <f t="shared" si="59"/>
        <v>4.9895215817816966E-4</v>
      </c>
    </row>
    <row r="228" spans="1:23">
      <c r="A228">
        <v>225</v>
      </c>
      <c r="B228">
        <f t="shared" si="45"/>
        <v>83.75</v>
      </c>
      <c r="C228">
        <f t="shared" si="46"/>
        <v>0.52464850707289845</v>
      </c>
      <c r="D228" s="21">
        <v>2.8389340986965401E-12</v>
      </c>
      <c r="E228">
        <f t="shared" si="54"/>
        <v>0.13215087260136915</v>
      </c>
      <c r="F228">
        <f t="shared" si="47"/>
        <v>0.14173739579062561</v>
      </c>
      <c r="G228" s="22">
        <f t="shared" si="55"/>
        <v>2.8389340986965393E-12</v>
      </c>
      <c r="H228" s="21">
        <v>9.4812301001304198E-4</v>
      </c>
      <c r="I228">
        <f t="shared" si="48"/>
        <v>3.4024111464945161E-2</v>
      </c>
      <c r="J228" s="22">
        <f t="shared" si="56"/>
        <v>9.4812301001304198E-4</v>
      </c>
      <c r="K228">
        <f t="shared" si="57"/>
        <v>3.3451800536482335E-2</v>
      </c>
      <c r="L228">
        <v>5.6374247479431538E-3</v>
      </c>
      <c r="M228">
        <f t="shared" si="49"/>
        <v>3.3451800536482335E-2</v>
      </c>
      <c r="N228">
        <f t="shared" si="50"/>
        <v>9.4812301001304198E-4</v>
      </c>
      <c r="O228">
        <v>2.8389340986965393E-12</v>
      </c>
      <c r="P228">
        <f t="shared" si="51"/>
        <v>9.4812300717410792E-4</v>
      </c>
      <c r="Q228">
        <f t="shared" si="52"/>
        <v>0.99905187698998699</v>
      </c>
      <c r="R228">
        <f t="shared" si="53"/>
        <v>1</v>
      </c>
      <c r="S228">
        <v>6.8134418368716947E-9</v>
      </c>
      <c r="T228">
        <v>0.99552915753281335</v>
      </c>
      <c r="U228">
        <f t="shared" si="58"/>
        <v>1.0127565739510307</v>
      </c>
      <c r="V228">
        <v>4.7406150580142257E-4</v>
      </c>
      <c r="W228">
        <f t="shared" si="59"/>
        <v>4.8226503410621823E-4</v>
      </c>
    </row>
    <row r="229" spans="1:23">
      <c r="A229">
        <v>226</v>
      </c>
      <c r="B229">
        <f t="shared" si="45"/>
        <v>83.833333333333329</v>
      </c>
      <c r="C229">
        <f t="shared" si="46"/>
        <v>0.52314660615140918</v>
      </c>
      <c r="D229" s="21">
        <v>2.4634559539734099E-12</v>
      </c>
      <c r="E229">
        <f t="shared" si="54"/>
        <v>0.1322602539085096</v>
      </c>
      <c r="F229">
        <f t="shared" si="47"/>
        <v>0.1418634409721268</v>
      </c>
      <c r="G229" s="22">
        <f t="shared" si="55"/>
        <v>2.4634559539734091E-12</v>
      </c>
      <c r="H229" s="21">
        <v>9.1639272743736396E-4</v>
      </c>
      <c r="I229">
        <f t="shared" si="48"/>
        <v>3.4039236700484664E-2</v>
      </c>
      <c r="J229" s="22">
        <f t="shared" si="56"/>
        <v>9.1639272743736396E-4</v>
      </c>
      <c r="K229">
        <f t="shared" si="57"/>
        <v>3.3466419695100114E-2</v>
      </c>
      <c r="L229">
        <v>5.6374247479431538E-3</v>
      </c>
      <c r="M229">
        <f t="shared" si="49"/>
        <v>3.3466419695100114E-2</v>
      </c>
      <c r="N229">
        <f t="shared" si="50"/>
        <v>9.1639272743736396E-4</v>
      </c>
      <c r="O229">
        <v>2.4634559539734091E-12</v>
      </c>
      <c r="P229">
        <f t="shared" si="51"/>
        <v>9.1639272497390798E-4</v>
      </c>
      <c r="Q229">
        <f t="shared" si="52"/>
        <v>0.99908360727256262</v>
      </c>
      <c r="R229">
        <f t="shared" si="53"/>
        <v>1</v>
      </c>
      <c r="S229">
        <v>5.9122942895361816E-9</v>
      </c>
      <c r="T229">
        <v>0.96221236122260334</v>
      </c>
      <c r="U229">
        <f t="shared" si="58"/>
        <v>0.97887076574057641</v>
      </c>
      <c r="V229">
        <v>4.5819636440844961E-4</v>
      </c>
      <c r="W229">
        <f t="shared" si="59"/>
        <v>4.6612893510493609E-4</v>
      </c>
    </row>
    <row r="230" spans="1:23">
      <c r="A230">
        <v>227</v>
      </c>
      <c r="B230">
        <f t="shared" si="45"/>
        <v>83.916666666666671</v>
      </c>
      <c r="C230">
        <f t="shared" si="46"/>
        <v>0.52164900469203113</v>
      </c>
      <c r="D230" s="21">
        <v>2.1373701760124799E-12</v>
      </c>
      <c r="E230">
        <f t="shared" si="54"/>
        <v>0.13236923413831403</v>
      </c>
      <c r="F230">
        <f t="shared" si="47"/>
        <v>0.14198903977560659</v>
      </c>
      <c r="G230" s="22">
        <f t="shared" si="55"/>
        <v>2.1373701760124791E-12</v>
      </c>
      <c r="H230" s="21">
        <v>8.8571100048879495E-4</v>
      </c>
      <c r="I230">
        <f t="shared" si="48"/>
        <v>3.4054301689061151E-2</v>
      </c>
      <c r="J230" s="22">
        <f t="shared" si="56"/>
        <v>8.8571100048879495E-4</v>
      </c>
      <c r="K230">
        <f t="shared" si="57"/>
        <v>3.348098040276748E-2</v>
      </c>
      <c r="L230">
        <v>5.6374247479431538E-3</v>
      </c>
      <c r="M230">
        <f t="shared" si="49"/>
        <v>3.348098040276748E-2</v>
      </c>
      <c r="N230">
        <f t="shared" si="50"/>
        <v>8.8571100048879495E-4</v>
      </c>
      <c r="O230">
        <v>2.1373701760124791E-12</v>
      </c>
      <c r="P230">
        <f t="shared" si="51"/>
        <v>8.8571099835142481E-4</v>
      </c>
      <c r="Q230">
        <f t="shared" si="52"/>
        <v>0.99911428899951116</v>
      </c>
      <c r="R230">
        <f t="shared" si="53"/>
        <v>1</v>
      </c>
      <c r="S230">
        <v>5.1296884224299496E-9</v>
      </c>
      <c r="T230">
        <v>0.92999654826899603</v>
      </c>
      <c r="U230">
        <f t="shared" si="58"/>
        <v>0.94610446026679107</v>
      </c>
      <c r="V230">
        <v>4.4285550084286114E-4</v>
      </c>
      <c r="W230">
        <f t="shared" si="59"/>
        <v>4.5052593262565537E-4</v>
      </c>
    </row>
    <row r="231" spans="1:23">
      <c r="A231">
        <v>228</v>
      </c>
      <c r="B231">
        <f t="shared" si="45"/>
        <v>84</v>
      </c>
      <c r="C231">
        <f t="shared" si="46"/>
        <v>0.52015569038677933</v>
      </c>
      <c r="D231" s="21">
        <v>1.8542160420197899E-12</v>
      </c>
      <c r="E231">
        <f t="shared" si="54"/>
        <v>0.13247781651045021</v>
      </c>
      <c r="F231">
        <f t="shared" si="47"/>
        <v>0.14211419574219558</v>
      </c>
      <c r="G231" s="22">
        <f t="shared" si="55"/>
        <v>1.8542160420197891E-12</v>
      </c>
      <c r="H231" s="21">
        <v>8.5604368259649703E-4</v>
      </c>
      <c r="I231">
        <f t="shared" si="48"/>
        <v>3.4069306935061341E-2</v>
      </c>
      <c r="J231" s="22">
        <f t="shared" si="56"/>
        <v>8.5604368259649703E-4</v>
      </c>
      <c r="K231">
        <f t="shared" si="57"/>
        <v>3.3495483149611482E-2</v>
      </c>
      <c r="L231">
        <v>6.3448384313740114E-3</v>
      </c>
      <c r="M231">
        <f t="shared" si="49"/>
        <v>3.3495483149611482E-2</v>
      </c>
      <c r="N231">
        <f t="shared" si="50"/>
        <v>8.5604368259649703E-4</v>
      </c>
      <c r="O231">
        <v>1.8542160420197891E-12</v>
      </c>
      <c r="P231">
        <f t="shared" si="51"/>
        <v>8.5604368074228103E-4</v>
      </c>
      <c r="Q231">
        <f t="shared" si="52"/>
        <v>0.99914395631740349</v>
      </c>
      <c r="R231">
        <f t="shared" si="53"/>
        <v>1</v>
      </c>
      <c r="S231">
        <v>4.4501185008474936E-9</v>
      </c>
      <c r="T231">
        <v>0.8988458647793951</v>
      </c>
      <c r="U231">
        <f t="shared" si="58"/>
        <v>0.91442121131409904</v>
      </c>
      <c r="V231">
        <v>4.2802184181742902E-4</v>
      </c>
      <c r="W231">
        <f t="shared" si="59"/>
        <v>4.3543867133014508E-4</v>
      </c>
    </row>
    <row r="232" spans="1:23">
      <c r="A232">
        <v>229</v>
      </c>
      <c r="B232">
        <f t="shared" si="45"/>
        <v>84.083333333333329</v>
      </c>
      <c r="C232">
        <f t="shared" si="46"/>
        <v>0.51866665096290221</v>
      </c>
      <c r="D232" s="21">
        <v>1.60837294607596E-12</v>
      </c>
      <c r="E232">
        <f t="shared" si="54"/>
        <v>0.13258600420479261</v>
      </c>
      <c r="F232">
        <f t="shared" si="47"/>
        <v>0.1422389123695556</v>
      </c>
      <c r="G232" s="22">
        <f t="shared" si="55"/>
        <v>1.6083729460759594E-12</v>
      </c>
      <c r="H232" s="21">
        <v>8.2735772006870499E-4</v>
      </c>
      <c r="I232">
        <f t="shared" si="48"/>
        <v>3.4084252936458878E-2</v>
      </c>
      <c r="J232" s="22">
        <f t="shared" si="56"/>
        <v>8.2735772006870499E-4</v>
      </c>
      <c r="K232">
        <f t="shared" si="57"/>
        <v>3.3509928419521273E-2</v>
      </c>
      <c r="L232">
        <v>6.3448384313740114E-3</v>
      </c>
      <c r="M232">
        <f t="shared" si="49"/>
        <v>3.3509928419521273E-2</v>
      </c>
      <c r="N232">
        <f t="shared" si="50"/>
        <v>8.2735772006870499E-4</v>
      </c>
      <c r="O232">
        <v>1.6083729460759594E-12</v>
      </c>
      <c r="P232">
        <f t="shared" si="51"/>
        <v>8.2735771846033205E-4</v>
      </c>
      <c r="Q232">
        <f t="shared" si="52"/>
        <v>0.9991726422799313</v>
      </c>
      <c r="R232">
        <f t="shared" si="53"/>
        <v>1</v>
      </c>
      <c r="S232">
        <v>3.8600950705823026E-9</v>
      </c>
      <c r="T232">
        <v>0.86872560438334867</v>
      </c>
      <c r="U232">
        <f t="shared" si="58"/>
        <v>0.8837857387364787</v>
      </c>
      <c r="V232">
        <v>4.136788604846969E-4</v>
      </c>
      <c r="W232">
        <f t="shared" si="59"/>
        <v>4.2085035115106294E-4</v>
      </c>
    </row>
    <row r="233" spans="1:23">
      <c r="A233">
        <v>230</v>
      </c>
      <c r="B233">
        <f t="shared" si="45"/>
        <v>84.166666666666671</v>
      </c>
      <c r="C233">
        <f t="shared" si="46"/>
        <v>0.51718187418278116</v>
      </c>
      <c r="D233" s="21">
        <v>1.3949518274616401E-12</v>
      </c>
      <c r="E233">
        <f t="shared" si="54"/>
        <v>0.13269380036204648</v>
      </c>
      <c r="F233">
        <f t="shared" si="47"/>
        <v>0.14236319311255544</v>
      </c>
      <c r="G233" s="22">
        <f t="shared" si="55"/>
        <v>1.3949518274616395E-12</v>
      </c>
      <c r="H233" s="21">
        <v>7.9962111784500701E-4</v>
      </c>
      <c r="I233">
        <f t="shared" si="48"/>
        <v>3.4099140184908353E-2</v>
      </c>
      <c r="J233" s="22">
        <f t="shared" si="56"/>
        <v>7.9962111784500701E-4</v>
      </c>
      <c r="K233">
        <f t="shared" si="57"/>
        <v>3.3524316690239697E-2</v>
      </c>
      <c r="L233">
        <v>6.3448384313740114E-3</v>
      </c>
      <c r="M233">
        <f t="shared" si="49"/>
        <v>3.3524316690239697E-2</v>
      </c>
      <c r="N233">
        <f t="shared" si="50"/>
        <v>7.9962111784500701E-4</v>
      </c>
      <c r="O233">
        <v>1.3949518274616395E-12</v>
      </c>
      <c r="P233">
        <f t="shared" si="51"/>
        <v>7.9962111645005514E-4</v>
      </c>
      <c r="Q233">
        <f t="shared" si="52"/>
        <v>0.99920037888215496</v>
      </c>
      <c r="R233">
        <f t="shared" si="53"/>
        <v>1</v>
      </c>
      <c r="S233">
        <v>3.3478843859079348E-9</v>
      </c>
      <c r="T233">
        <v>0.83960217227255796</v>
      </c>
      <c r="U233">
        <f t="shared" si="58"/>
        <v>0.85416389193194298</v>
      </c>
      <c r="V233">
        <v>3.9981055931308999E-4</v>
      </c>
      <c r="W233">
        <f t="shared" si="59"/>
        <v>4.0674470989889347E-4</v>
      </c>
    </row>
    <row r="234" spans="1:23">
      <c r="A234">
        <v>231</v>
      </c>
      <c r="B234">
        <f t="shared" si="45"/>
        <v>84.25</v>
      </c>
      <c r="C234">
        <f t="shared" si="46"/>
        <v>0.51570134784383026</v>
      </c>
      <c r="D234" s="21">
        <v>1.2097005395552E-12</v>
      </c>
      <c r="E234">
        <f t="shared" si="54"/>
        <v>0.13280120808439488</v>
      </c>
      <c r="F234">
        <f t="shared" si="47"/>
        <v>0.14248704138397436</v>
      </c>
      <c r="G234" s="22">
        <f t="shared" si="55"/>
        <v>1.2097005395551994E-12</v>
      </c>
      <c r="H234" s="21">
        <v>7.7280290629360999E-4</v>
      </c>
      <c r="I234">
        <f t="shared" si="48"/>
        <v>3.4113969165874454E-2</v>
      </c>
      <c r="J234" s="22">
        <f t="shared" si="56"/>
        <v>7.7280290629360999E-4</v>
      </c>
      <c r="K234">
        <f t="shared" si="57"/>
        <v>3.353864843348886E-2</v>
      </c>
      <c r="L234">
        <v>6.3448384313740114E-3</v>
      </c>
      <c r="M234">
        <f t="shared" si="49"/>
        <v>3.353864843348886E-2</v>
      </c>
      <c r="N234">
        <f t="shared" si="50"/>
        <v>7.7280290629360999E-4</v>
      </c>
      <c r="O234">
        <v>1.2097005395551994E-12</v>
      </c>
      <c r="P234">
        <f t="shared" si="51"/>
        <v>7.7280290508390946E-4</v>
      </c>
      <c r="Q234">
        <f t="shared" si="52"/>
        <v>0.99922719709370644</v>
      </c>
      <c r="R234">
        <f t="shared" si="53"/>
        <v>1</v>
      </c>
      <c r="S234">
        <v>2.9032812949324785E-9</v>
      </c>
      <c r="T234">
        <v>0.81144305033810493</v>
      </c>
      <c r="U234">
        <f t="shared" si="58"/>
        <v>0.82552261443091424</v>
      </c>
      <c r="V234">
        <v>3.8640145348552114E-4</v>
      </c>
      <c r="W234">
        <f t="shared" si="59"/>
        <v>3.9310600639930556E-4</v>
      </c>
    </row>
    <row r="235" spans="1:23">
      <c r="A235">
        <v>232</v>
      </c>
      <c r="B235">
        <f t="shared" si="45"/>
        <v>84.333333333333329</v>
      </c>
      <c r="C235">
        <f t="shared" si="46"/>
        <v>0.51422505977839528</v>
      </c>
      <c r="D235" s="21">
        <v>1.04892138148527E-12</v>
      </c>
      <c r="E235">
        <f t="shared" si="54"/>
        <v>0.13290823043614375</v>
      </c>
      <c r="F235">
        <f t="shared" si="47"/>
        <v>0.14261046055520413</v>
      </c>
      <c r="G235" s="22">
        <f t="shared" si="55"/>
        <v>1.0489213814852696E-12</v>
      </c>
      <c r="H235" s="21">
        <v>7.4687310902284501E-4</v>
      </c>
      <c r="I235">
        <f t="shared" si="48"/>
        <v>3.4128740358721051E-2</v>
      </c>
      <c r="J235" s="22">
        <f t="shared" si="56"/>
        <v>7.4687310902284501E-4</v>
      </c>
      <c r="K235">
        <f t="shared" si="57"/>
        <v>3.3552924115056948E-2</v>
      </c>
      <c r="L235">
        <v>6.3448384313740114E-3</v>
      </c>
      <c r="M235">
        <f t="shared" si="49"/>
        <v>3.3552924115056948E-2</v>
      </c>
      <c r="N235">
        <f t="shared" si="50"/>
        <v>7.4687310902284501E-4</v>
      </c>
      <c r="O235">
        <v>1.0489213814852696E-12</v>
      </c>
      <c r="P235">
        <f t="shared" si="51"/>
        <v>7.4687310797392364E-4</v>
      </c>
      <c r="Q235">
        <f t="shared" si="52"/>
        <v>0.99925312689097712</v>
      </c>
      <c r="R235">
        <f t="shared" si="53"/>
        <v>1</v>
      </c>
      <c r="S235">
        <v>2.5174113155646472E-9</v>
      </c>
      <c r="T235">
        <v>0.78421676337261981</v>
      </c>
      <c r="U235">
        <f t="shared" si="58"/>
        <v>0.79782990956570865</v>
      </c>
      <c r="V235">
        <v>3.7343655480512051E-4</v>
      </c>
      <c r="W235">
        <f t="shared" si="59"/>
        <v>3.7991900414532085E-4</v>
      </c>
    </row>
    <row r="236" spans="1:23">
      <c r="A236">
        <v>233</v>
      </c>
      <c r="B236">
        <f t="shared" si="45"/>
        <v>84.416666666666671</v>
      </c>
      <c r="C236">
        <f t="shared" si="46"/>
        <v>0.51275299785365458</v>
      </c>
      <c r="D236" s="21">
        <v>9.0939923982067904E-13</v>
      </c>
      <c r="E236">
        <f t="shared" si="54"/>
        <v>0.13301487044436822</v>
      </c>
      <c r="F236">
        <f t="shared" si="47"/>
        <v>0.14273345395695355</v>
      </c>
      <c r="G236" s="22">
        <f t="shared" si="55"/>
        <v>9.0939923982067874E-13</v>
      </c>
      <c r="H236" s="21">
        <v>7.2180271167697897E-4</v>
      </c>
      <c r="I236">
        <f t="shared" si="48"/>
        <v>3.4143454236819824E-2</v>
      </c>
      <c r="J236" s="22">
        <f t="shared" si="56"/>
        <v>7.2180271167697897E-4</v>
      </c>
      <c r="K236">
        <f t="shared" si="57"/>
        <v>3.356714419490392E-2</v>
      </c>
      <c r="L236">
        <v>6.3448384313740114E-3</v>
      </c>
      <c r="M236">
        <f t="shared" si="49"/>
        <v>3.356714419490392E-2</v>
      </c>
      <c r="N236">
        <f t="shared" si="50"/>
        <v>7.2180271167697897E-4</v>
      </c>
      <c r="O236">
        <v>9.0939923982067874E-13</v>
      </c>
      <c r="P236">
        <f t="shared" si="51"/>
        <v>7.2180271076757968E-4</v>
      </c>
      <c r="Q236">
        <f t="shared" si="52"/>
        <v>0.99927819728832301</v>
      </c>
      <c r="R236">
        <f t="shared" si="53"/>
        <v>1</v>
      </c>
      <c r="S236">
        <v>2.182558175569629E-9</v>
      </c>
      <c r="T236">
        <v>0.75789284630595866</v>
      </c>
      <c r="U236">
        <f t="shared" si="58"/>
        <v>0.77105480718927399</v>
      </c>
      <c r="V236">
        <v>3.6090135609312125E-4</v>
      </c>
      <c r="W236">
        <f t="shared" si="59"/>
        <v>3.6716895544912088E-4</v>
      </c>
    </row>
    <row r="237" spans="1:23">
      <c r="A237">
        <v>234</v>
      </c>
      <c r="B237">
        <f t="shared" si="45"/>
        <v>84.5</v>
      </c>
      <c r="C237">
        <f t="shared" si="46"/>
        <v>0.51128514997151853</v>
      </c>
      <c r="D237" s="21">
        <v>7.8833898439473497E-13</v>
      </c>
      <c r="E237">
        <f t="shared" si="54"/>
        <v>0.13312113109948875</v>
      </c>
      <c r="F237">
        <f t="shared" si="47"/>
        <v>0.14285602487987276</v>
      </c>
      <c r="G237" s="22">
        <f t="shared" si="55"/>
        <v>7.8833898439473477E-13</v>
      </c>
      <c r="H237" s="21">
        <v>6.9756363168726305E-4</v>
      </c>
      <c r="I237">
        <f t="shared" si="48"/>
        <v>3.4158111267646868E-2</v>
      </c>
      <c r="J237" s="22">
        <f t="shared" si="56"/>
        <v>6.9756363168726305E-4</v>
      </c>
      <c r="K237">
        <f t="shared" si="57"/>
        <v>3.3581309127255543E-2</v>
      </c>
      <c r="L237">
        <v>6.3448384313740114E-3</v>
      </c>
      <c r="M237">
        <f t="shared" si="49"/>
        <v>3.3581309127255543E-2</v>
      </c>
      <c r="N237">
        <f t="shared" si="50"/>
        <v>6.9756363168726305E-4</v>
      </c>
      <c r="O237">
        <v>7.8833898439473477E-13</v>
      </c>
      <c r="P237">
        <f t="shared" si="51"/>
        <v>6.9756363089892403E-4</v>
      </c>
      <c r="Q237">
        <f t="shared" si="52"/>
        <v>0.99930243636831273</v>
      </c>
      <c r="R237">
        <f t="shared" si="53"/>
        <v>1</v>
      </c>
      <c r="S237">
        <v>1.8920135625473636E-9</v>
      </c>
      <c r="T237">
        <v>0.73244181244387019</v>
      </c>
      <c r="U237">
        <f t="shared" si="58"/>
        <v>0.74516733141220026</v>
      </c>
      <c r="V237">
        <v>3.4878181606436641E-4</v>
      </c>
      <c r="W237">
        <f t="shared" si="59"/>
        <v>3.5484158607874386E-4</v>
      </c>
    </row>
    <row r="238" spans="1:23">
      <c r="A238">
        <v>235</v>
      </c>
      <c r="B238">
        <f t="shared" si="45"/>
        <v>84.583333333333329</v>
      </c>
      <c r="C238">
        <f t="shared" si="46"/>
        <v>0.50982150406853044</v>
      </c>
      <c r="D238" s="21">
        <v>6.8331093441514601E-13</v>
      </c>
      <c r="E238">
        <f t="shared" si="54"/>
        <v>0.13322701535587078</v>
      </c>
      <c r="F238">
        <f t="shared" si="47"/>
        <v>0.14297817657520559</v>
      </c>
      <c r="G238" s="22">
        <f t="shared" si="55"/>
        <v>6.833109344151459E-13</v>
      </c>
      <c r="H238" s="21">
        <v>6.7412868894995196E-4</v>
      </c>
      <c r="I238">
        <f t="shared" si="48"/>
        <v>3.4172711912888808E-2</v>
      </c>
      <c r="J238" s="22">
        <f t="shared" si="56"/>
        <v>6.7412868894995196E-4</v>
      </c>
      <c r="K238">
        <f t="shared" si="57"/>
        <v>3.3595419360706646E-2</v>
      </c>
      <c r="L238">
        <v>6.3448384313740114E-3</v>
      </c>
      <c r="M238">
        <f t="shared" si="49"/>
        <v>3.3595419360706646E-2</v>
      </c>
      <c r="N238">
        <f t="shared" si="50"/>
        <v>6.7412868894995196E-4</v>
      </c>
      <c r="O238">
        <v>6.833109344151459E-13</v>
      </c>
      <c r="P238">
        <f t="shared" si="51"/>
        <v>6.7412868826664102E-4</v>
      </c>
      <c r="Q238">
        <f t="shared" si="52"/>
        <v>0.99932587131105</v>
      </c>
      <c r="R238">
        <f t="shared" si="53"/>
        <v>1</v>
      </c>
      <c r="S238">
        <v>1.6399462425963501E-9</v>
      </c>
      <c r="T238">
        <v>0.70783512267997306</v>
      </c>
      <c r="U238">
        <f t="shared" si="58"/>
        <v>0.7201384693279016</v>
      </c>
      <c r="V238">
        <v>3.3706434466630302E-4</v>
      </c>
      <c r="W238">
        <f t="shared" si="59"/>
        <v>3.4292308036533469E-4</v>
      </c>
    </row>
    <row r="239" spans="1:23">
      <c r="A239">
        <v>236</v>
      </c>
      <c r="B239">
        <f t="shared" si="45"/>
        <v>84.666666666666671</v>
      </c>
      <c r="C239">
        <f t="shared" si="46"/>
        <v>0.50836204811576768</v>
      </c>
      <c r="D239" s="21">
        <v>5.9220336139565801E-13</v>
      </c>
      <c r="E239">
        <f t="shared" si="54"/>
        <v>0.13333252613243785</v>
      </c>
      <c r="F239">
        <f t="shared" si="47"/>
        <v>0.14309991225545843</v>
      </c>
      <c r="G239" s="22">
        <f t="shared" si="55"/>
        <v>5.9220336139565791E-13</v>
      </c>
      <c r="H239" s="21">
        <v>6.5147157740384602E-4</v>
      </c>
      <c r="I239">
        <f t="shared" si="48"/>
        <v>3.4187256628526785E-2</v>
      </c>
      <c r="J239" s="22">
        <f t="shared" si="56"/>
        <v>6.5147157740384602E-4</v>
      </c>
      <c r="K239">
        <f t="shared" si="57"/>
        <v>3.3609475338302941E-2</v>
      </c>
      <c r="L239">
        <v>6.3448384313740114E-3</v>
      </c>
      <c r="M239">
        <f t="shared" si="49"/>
        <v>3.3609475338302941E-2</v>
      </c>
      <c r="N239">
        <f t="shared" si="50"/>
        <v>6.5147157740384602E-4</v>
      </c>
      <c r="O239">
        <v>5.9220336139565791E-13</v>
      </c>
      <c r="P239">
        <f t="shared" si="51"/>
        <v>6.5147157681164265E-4</v>
      </c>
      <c r="Q239">
        <f t="shared" si="52"/>
        <v>0.99934852842259614</v>
      </c>
      <c r="R239">
        <f t="shared" si="53"/>
        <v>1</v>
      </c>
      <c r="S239">
        <v>1.4212880673495789E-9</v>
      </c>
      <c r="T239">
        <v>0.68404515565222479</v>
      </c>
      <c r="U239">
        <f t="shared" si="58"/>
        <v>0.69594014069671606</v>
      </c>
      <c r="V239">
        <v>3.2573578886773997E-4</v>
      </c>
      <c r="W239">
        <f t="shared" si="59"/>
        <v>3.3140006676702152E-4</v>
      </c>
    </row>
    <row r="240" spans="1:23">
      <c r="A240">
        <v>237</v>
      </c>
      <c r="B240">
        <f t="shared" si="45"/>
        <v>84.75</v>
      </c>
      <c r="C240">
        <f t="shared" si="46"/>
        <v>0.50690677011874263</v>
      </c>
      <c r="D240" s="21">
        <v>5.1318112686817003E-13</v>
      </c>
      <c r="E240">
        <f t="shared" si="54"/>
        <v>0.13343766631323173</v>
      </c>
      <c r="F240">
        <f t="shared" si="47"/>
        <v>0.14322123509500873</v>
      </c>
      <c r="G240" s="22">
        <f t="shared" si="55"/>
        <v>5.1318112686816993E-13</v>
      </c>
      <c r="H240" s="21">
        <v>6.2956683748065202E-4</v>
      </c>
      <c r="I240">
        <f t="shared" si="48"/>
        <v>3.4201745864944143E-2</v>
      </c>
      <c r="J240" s="22">
        <f t="shared" si="56"/>
        <v>6.2956683748065202E-4</v>
      </c>
      <c r="K240">
        <f t="shared" si="57"/>
        <v>3.3623477497645715E-2</v>
      </c>
      <c r="L240">
        <v>6.3448384313740114E-3</v>
      </c>
      <c r="M240">
        <f t="shared" si="49"/>
        <v>3.3623477497645715E-2</v>
      </c>
      <c r="N240">
        <f t="shared" si="50"/>
        <v>6.2956683748065202E-4</v>
      </c>
      <c r="O240">
        <v>5.1318112686816993E-13</v>
      </c>
      <c r="P240">
        <f t="shared" si="51"/>
        <v>6.2956683696747094E-4</v>
      </c>
      <c r="Q240">
        <f t="shared" si="52"/>
        <v>0.99937043316251939</v>
      </c>
      <c r="R240">
        <f t="shared" si="53"/>
        <v>1</v>
      </c>
      <c r="S240">
        <v>1.2316347044836079E-9</v>
      </c>
      <c r="T240">
        <v>0.66104517881584446</v>
      </c>
      <c r="U240">
        <f t="shared" si="58"/>
        <v>0.67254516856049595</v>
      </c>
      <c r="V240">
        <v>3.1478341888401673E-4</v>
      </c>
      <c r="W240">
        <f t="shared" si="59"/>
        <v>3.2025960387587838E-4</v>
      </c>
    </row>
    <row r="241" spans="1:23">
      <c r="A241">
        <v>238</v>
      </c>
      <c r="B241">
        <f t="shared" si="45"/>
        <v>84.833333333333329</v>
      </c>
      <c r="C241">
        <f t="shared" si="46"/>
        <v>0.50545565811730353</v>
      </c>
      <c r="D241" s="21">
        <v>4.4464966766676598E-13</v>
      </c>
      <c r="E241">
        <f t="shared" si="54"/>
        <v>0.13354243874796456</v>
      </c>
      <c r="F241">
        <f t="shared" si="47"/>
        <v>0.14334214823070493</v>
      </c>
      <c r="G241" s="22">
        <f t="shared" si="55"/>
        <v>4.4464966766676593E-13</v>
      </c>
      <c r="H241" s="21">
        <v>6.0838982940224901E-4</v>
      </c>
      <c r="I241">
        <f t="shared" si="48"/>
        <v>3.4216180067006385E-2</v>
      </c>
      <c r="J241" s="22">
        <f t="shared" si="56"/>
        <v>6.0838982940224901E-4</v>
      </c>
      <c r="K241">
        <f t="shared" si="57"/>
        <v>3.3637426270969772E-2</v>
      </c>
      <c r="L241">
        <v>6.3448384313740114E-3</v>
      </c>
      <c r="M241">
        <f t="shared" si="49"/>
        <v>3.3637426270969772E-2</v>
      </c>
      <c r="N241">
        <f t="shared" si="50"/>
        <v>6.0838982940224901E-4</v>
      </c>
      <c r="O241">
        <v>4.4464966766676593E-13</v>
      </c>
      <c r="P241">
        <f t="shared" si="51"/>
        <v>6.0838982895759937E-4</v>
      </c>
      <c r="Q241">
        <f t="shared" si="52"/>
        <v>0.99939161017059774</v>
      </c>
      <c r="R241">
        <f t="shared" si="53"/>
        <v>1</v>
      </c>
      <c r="S241">
        <v>1.0671592024002383E-9</v>
      </c>
      <c r="T241">
        <v>0.63880932040547933</v>
      </c>
      <c r="U241">
        <f t="shared" si="58"/>
        <v>0.64992725076005886</v>
      </c>
      <c r="V241">
        <v>3.0419491482562642E-4</v>
      </c>
      <c r="W241">
        <f t="shared" si="59"/>
        <v>3.0948916685482155E-4</v>
      </c>
    </row>
    <row r="242" spans="1:23">
      <c r="A242">
        <v>239</v>
      </c>
      <c r="B242">
        <f t="shared" si="45"/>
        <v>84.916666666666671</v>
      </c>
      <c r="C242">
        <f t="shared" si="46"/>
        <v>0.50400870018553734</v>
      </c>
      <c r="D242" s="21">
        <v>3.8522364189584601E-13</v>
      </c>
      <c r="E242">
        <f t="shared" si="54"/>
        <v>0.1336468462525775</v>
      </c>
      <c r="F242">
        <f t="shared" si="47"/>
        <v>0.14346265476247499</v>
      </c>
      <c r="G242" s="22">
        <f t="shared" si="55"/>
        <v>3.8522364189584596E-13</v>
      </c>
      <c r="H242" s="21">
        <v>5.8791670729964698E-4</v>
      </c>
      <c r="I242">
        <f t="shared" si="48"/>
        <v>3.4230559674165099E-2</v>
      </c>
      <c r="J242" s="22">
        <f t="shared" si="56"/>
        <v>5.8791670729964698E-4</v>
      </c>
      <c r="K242">
        <f t="shared" si="57"/>
        <v>3.3651322085244462E-2</v>
      </c>
      <c r="L242">
        <v>6.3448384313740114E-3</v>
      </c>
      <c r="M242">
        <f t="shared" si="49"/>
        <v>3.3651322085244462E-2</v>
      </c>
      <c r="N242">
        <f t="shared" si="50"/>
        <v>5.8791670729964698E-4</v>
      </c>
      <c r="O242">
        <v>3.8522364189584596E-13</v>
      </c>
      <c r="P242">
        <f t="shared" si="51"/>
        <v>5.8791670691442333E-4</v>
      </c>
      <c r="Q242">
        <f t="shared" si="52"/>
        <v>0.99941208329270037</v>
      </c>
      <c r="R242">
        <f t="shared" si="53"/>
        <v>1</v>
      </c>
      <c r="S242">
        <v>9.2453674055003028E-10</v>
      </c>
      <c r="T242">
        <v>0.61731254226014454</v>
      </c>
      <c r="U242">
        <f t="shared" si="58"/>
        <v>0.62806093232865989</v>
      </c>
      <c r="V242">
        <v>2.939583537576861E-4</v>
      </c>
      <c r="W242">
        <f t="shared" si="59"/>
        <v>2.9907663429165626E-4</v>
      </c>
    </row>
    <row r="243" spans="1:23">
      <c r="A243">
        <v>240</v>
      </c>
      <c r="B243">
        <f t="shared" si="45"/>
        <v>85</v>
      </c>
      <c r="C243">
        <f t="shared" si="46"/>
        <v>0.50256588443167094</v>
      </c>
      <c r="D243" s="21">
        <v>3.3369963632310801E-13</v>
      </c>
      <c r="E243">
        <f t="shared" si="54"/>
        <v>0.13375089160978515</v>
      </c>
      <c r="F243">
        <f t="shared" si="47"/>
        <v>0.14358275775391902</v>
      </c>
      <c r="G243" s="22">
        <f t="shared" si="55"/>
        <v>3.3369963632310796E-13</v>
      </c>
      <c r="H243" s="21">
        <v>5.6812439412918202E-4</v>
      </c>
      <c r="I243">
        <f t="shared" si="48"/>
        <v>3.4244885120523594E-2</v>
      </c>
      <c r="J243" s="22">
        <f t="shared" si="56"/>
        <v>5.6812439412918202E-4</v>
      </c>
      <c r="K243">
        <f t="shared" si="57"/>
        <v>3.3665165362237737E-2</v>
      </c>
      <c r="L243">
        <v>7.1211431181837925E-3</v>
      </c>
      <c r="M243">
        <f t="shared" si="49"/>
        <v>3.3665165362237737E-2</v>
      </c>
      <c r="N243">
        <f t="shared" si="50"/>
        <v>5.6812439412918202E-4</v>
      </c>
      <c r="O243">
        <v>3.3369963632310796E-13</v>
      </c>
      <c r="P243">
        <f t="shared" si="51"/>
        <v>5.6812439379548237E-4</v>
      </c>
      <c r="Q243">
        <f t="shared" si="52"/>
        <v>0.99943187560587077</v>
      </c>
      <c r="R243">
        <f t="shared" si="53"/>
        <v>1</v>
      </c>
      <c r="S243">
        <v>8.0087912717545912E-10</v>
      </c>
      <c r="T243">
        <v>0.59653061348525649</v>
      </c>
      <c r="U243">
        <f t="shared" si="58"/>
        <v>0.60692157873540853</v>
      </c>
      <c r="V243">
        <v>2.840621971580269E-4</v>
      </c>
      <c r="W243">
        <f t="shared" si="59"/>
        <v>2.8901027545785653E-4</v>
      </c>
    </row>
    <row r="244" spans="1:23">
      <c r="A244">
        <v>241</v>
      </c>
      <c r="B244">
        <f t="shared" si="45"/>
        <v>85.083333333333329</v>
      </c>
      <c r="C244">
        <f t="shared" si="46"/>
        <v>0.50112719899797309</v>
      </c>
      <c r="D244" s="21">
        <v>2.8903241246794898E-13</v>
      </c>
      <c r="E244">
        <f t="shared" si="54"/>
        <v>0.13385457756960073</v>
      </c>
      <c r="F244">
        <f t="shared" si="47"/>
        <v>0.14370246023288064</v>
      </c>
      <c r="G244" s="22">
        <f t="shared" si="55"/>
        <v>2.8903241246794893E-13</v>
      </c>
      <c r="H244" s="21">
        <v>5.4899055736213102E-4</v>
      </c>
      <c r="I244">
        <f t="shared" si="48"/>
        <v>3.4259156834956485E-2</v>
      </c>
      <c r="J244" s="22">
        <f t="shared" si="56"/>
        <v>5.4899055736213102E-4</v>
      </c>
      <c r="K244">
        <f t="shared" si="57"/>
        <v>3.3678956518632286E-2</v>
      </c>
      <c r="L244">
        <v>7.1211431181837925E-3</v>
      </c>
      <c r="M244">
        <f t="shared" si="49"/>
        <v>3.3678956518632286E-2</v>
      </c>
      <c r="N244">
        <f t="shared" si="50"/>
        <v>5.4899055736213102E-4</v>
      </c>
      <c r="O244">
        <v>2.8903241246794893E-13</v>
      </c>
      <c r="P244">
        <f t="shared" si="51"/>
        <v>5.4899055707309866E-4</v>
      </c>
      <c r="Q244">
        <f t="shared" si="52"/>
        <v>0.99945100944263787</v>
      </c>
      <c r="R244">
        <f t="shared" si="53"/>
        <v>1</v>
      </c>
      <c r="S244">
        <v>6.9367778992307748E-10</v>
      </c>
      <c r="T244">
        <v>0.57644008492675358</v>
      </c>
      <c r="U244">
        <f t="shared" si="58"/>
        <v>0.5864853499532835</v>
      </c>
      <c r="V244">
        <v>2.7449527876199459E-4</v>
      </c>
      <c r="W244">
        <f t="shared" si="59"/>
        <v>2.7927873796001074E-4</v>
      </c>
    </row>
    <row r="245" spans="1:23">
      <c r="A245">
        <v>242</v>
      </c>
      <c r="B245">
        <f t="shared" si="45"/>
        <v>85.166666666666671</v>
      </c>
      <c r="C245">
        <f t="shared" si="46"/>
        <v>0.49969263206065828</v>
      </c>
      <c r="D245" s="21">
        <v>2.5031423548198101E-13</v>
      </c>
      <c r="E245">
        <f t="shared" si="54"/>
        <v>0.13395790684984665</v>
      </c>
      <c r="F245">
        <f t="shared" si="47"/>
        <v>0.14382176519200207</v>
      </c>
      <c r="G245" s="22">
        <f t="shared" si="55"/>
        <v>2.5031423548198096E-13</v>
      </c>
      <c r="H245" s="21">
        <v>5.3049358542468198E-4</v>
      </c>
      <c r="I245">
        <f t="shared" si="48"/>
        <v>3.4273375241161565E-2</v>
      </c>
      <c r="J245" s="22">
        <f t="shared" si="56"/>
        <v>5.3049358542468198E-4</v>
      </c>
      <c r="K245">
        <f t="shared" si="57"/>
        <v>3.3692695966076269E-2</v>
      </c>
      <c r="L245">
        <v>7.1211431181837925E-3</v>
      </c>
      <c r="M245">
        <f t="shared" si="49"/>
        <v>3.3692695966076269E-2</v>
      </c>
      <c r="N245">
        <f t="shared" si="50"/>
        <v>5.3049358542468198E-4</v>
      </c>
      <c r="O245">
        <v>2.5031423548198096E-13</v>
      </c>
      <c r="P245">
        <f t="shared" si="51"/>
        <v>5.3049358517436777E-4</v>
      </c>
      <c r="Q245">
        <f t="shared" si="52"/>
        <v>0.99946950641457533</v>
      </c>
      <c r="R245">
        <f t="shared" si="53"/>
        <v>1</v>
      </c>
      <c r="S245">
        <v>6.0075416515675431E-10</v>
      </c>
      <c r="T245">
        <v>0.55701826443308622</v>
      </c>
      <c r="U245">
        <f t="shared" si="58"/>
        <v>0.56672917532713585</v>
      </c>
      <c r="V245">
        <v>2.6524679278242897E-4</v>
      </c>
      <c r="W245">
        <f t="shared" si="59"/>
        <v>2.6987103577221178E-4</v>
      </c>
    </row>
    <row r="246" spans="1:23">
      <c r="A246">
        <v>243</v>
      </c>
      <c r="B246">
        <f t="shared" si="45"/>
        <v>85.25</v>
      </c>
      <c r="C246">
        <f t="shared" si="46"/>
        <v>0.49826217182978771</v>
      </c>
      <c r="D246" s="21">
        <v>2.1675688826189799E-13</v>
      </c>
      <c r="E246">
        <f t="shared" si="54"/>
        <v>0.13406088213667999</v>
      </c>
      <c r="F246">
        <f t="shared" si="47"/>
        <v>0.14394067558929721</v>
      </c>
      <c r="G246" s="22">
        <f t="shared" si="55"/>
        <v>2.1675688826189794E-13</v>
      </c>
      <c r="H246" s="21">
        <v>5.1261256486578204E-4</v>
      </c>
      <c r="I246">
        <f t="shared" si="48"/>
        <v>3.4287540757769984E-2</v>
      </c>
      <c r="J246" s="22">
        <f t="shared" si="56"/>
        <v>5.1261256486578204E-4</v>
      </c>
      <c r="K246">
        <f t="shared" si="57"/>
        <v>3.3706384111290344E-2</v>
      </c>
      <c r="L246">
        <v>7.1211431181837925E-3</v>
      </c>
      <c r="M246">
        <f t="shared" si="49"/>
        <v>3.3706384111290344E-2</v>
      </c>
      <c r="N246">
        <f t="shared" si="50"/>
        <v>5.1261256486578204E-4</v>
      </c>
      <c r="O246">
        <v>2.1675688826189794E-13</v>
      </c>
      <c r="P246">
        <f t="shared" si="51"/>
        <v>5.126125646490252E-4</v>
      </c>
      <c r="Q246">
        <f t="shared" si="52"/>
        <v>0.99948738743513421</v>
      </c>
      <c r="R246">
        <f t="shared" si="53"/>
        <v>1</v>
      </c>
      <c r="S246">
        <v>5.2021653182855506E-10</v>
      </c>
      <c r="T246">
        <v>0.53824319288147648</v>
      </c>
      <c r="U246">
        <f t="shared" si="58"/>
        <v>0.54763072921776668</v>
      </c>
      <c r="V246">
        <v>2.5630628249358298E-4</v>
      </c>
      <c r="W246">
        <f t="shared" si="59"/>
        <v>2.6077653763800595E-4</v>
      </c>
    </row>
    <row r="247" spans="1:23">
      <c r="A247">
        <v>244</v>
      </c>
      <c r="B247">
        <f t="shared" si="45"/>
        <v>85.333333333333329</v>
      </c>
      <c r="C247">
        <f t="shared" si="46"/>
        <v>0.4968358065491742</v>
      </c>
      <c r="D247" s="21">
        <v>1.8767602416459099E-13</v>
      </c>
      <c r="E247">
        <f t="shared" si="54"/>
        <v>0.13416350608507466</v>
      </c>
      <c r="F247">
        <f t="shared" si="47"/>
        <v>0.14405919434867553</v>
      </c>
      <c r="G247" s="22">
        <f t="shared" si="55"/>
        <v>1.8767602416459094E-13</v>
      </c>
      <c r="H247" s="21">
        <v>4.9532725823108695E-4</v>
      </c>
      <c r="I247">
        <f t="shared" si="48"/>
        <v>3.4301653798410797E-2</v>
      </c>
      <c r="J247" s="22">
        <f t="shared" si="56"/>
        <v>4.9532725823108695E-4</v>
      </c>
      <c r="K247">
        <f t="shared" si="57"/>
        <v>3.3720021356130614E-2</v>
      </c>
      <c r="L247">
        <v>7.1211431181837925E-3</v>
      </c>
      <c r="M247">
        <f t="shared" si="49"/>
        <v>3.3720021356130614E-2</v>
      </c>
      <c r="N247">
        <f t="shared" si="50"/>
        <v>4.9532725823108695E-4</v>
      </c>
      <c r="O247">
        <v>1.8767602416459094E-13</v>
      </c>
      <c r="P247">
        <f t="shared" si="51"/>
        <v>4.9532725804341091E-4</v>
      </c>
      <c r="Q247">
        <f t="shared" si="52"/>
        <v>0.99950467274176891</v>
      </c>
      <c r="R247">
        <f t="shared" si="53"/>
        <v>1</v>
      </c>
      <c r="S247">
        <v>4.5042245799501824E-10</v>
      </c>
      <c r="T247">
        <v>0.52009362094558143</v>
      </c>
      <c r="U247">
        <f t="shared" si="58"/>
        <v>0.52916840739884852</v>
      </c>
      <c r="V247">
        <v>2.4766362916809275E-4</v>
      </c>
      <c r="W247">
        <f t="shared" si="59"/>
        <v>2.5198495583083789E-4</v>
      </c>
    </row>
    <row r="248" spans="1:23">
      <c r="A248">
        <v>245</v>
      </c>
      <c r="B248">
        <f t="shared" si="45"/>
        <v>85.416666666666671</v>
      </c>
      <c r="C248">
        <f t="shared" si="46"/>
        <v>0.49541352449628473</v>
      </c>
      <c r="D248" s="21">
        <v>1.62477556145231E-13</v>
      </c>
      <c r="E248">
        <f t="shared" si="54"/>
        <v>0.13426578131930722</v>
      </c>
      <c r="F248">
        <f t="shared" si="47"/>
        <v>0.14417732436047065</v>
      </c>
      <c r="G248" s="22">
        <f t="shared" si="55"/>
        <v>1.6247755614523095E-13</v>
      </c>
      <c r="H248" s="21">
        <v>4.7861808262182799E-4</v>
      </c>
      <c r="I248">
        <f t="shared" si="48"/>
        <v>3.4315714771790587E-2</v>
      </c>
      <c r="J248" s="22">
        <f t="shared" si="56"/>
        <v>4.7861808262182799E-4</v>
      </c>
      <c r="K248">
        <f t="shared" si="57"/>
        <v>3.3733608097666123E-2</v>
      </c>
      <c r="L248">
        <v>7.1211431181837925E-3</v>
      </c>
      <c r="M248">
        <f t="shared" si="49"/>
        <v>3.3733608097666123E-2</v>
      </c>
      <c r="N248">
        <f t="shared" si="50"/>
        <v>4.7861808262182799E-4</v>
      </c>
      <c r="O248">
        <v>1.6247755614523095E-13</v>
      </c>
      <c r="P248">
        <f t="shared" si="51"/>
        <v>4.7861808245935043E-4</v>
      </c>
      <c r="Q248">
        <f t="shared" si="52"/>
        <v>0.99952138191737816</v>
      </c>
      <c r="R248">
        <f t="shared" si="53"/>
        <v>1</v>
      </c>
      <c r="S248">
        <v>3.8994613474855429E-10</v>
      </c>
      <c r="T248">
        <v>0.50254898658231795</v>
      </c>
      <c r="U248">
        <f t="shared" si="58"/>
        <v>0.51132130418413402</v>
      </c>
      <c r="V248">
        <v>2.3930904135640771E-4</v>
      </c>
      <c r="W248">
        <f t="shared" si="59"/>
        <v>2.4348633526225023E-4</v>
      </c>
    </row>
    <row r="249" spans="1:23">
      <c r="A249">
        <v>246</v>
      </c>
      <c r="B249">
        <f t="shared" si="45"/>
        <v>85.5</v>
      </c>
      <c r="C249">
        <f t="shared" si="46"/>
        <v>0.49399531398214352</v>
      </c>
      <c r="D249" s="21">
        <v>1.4064581892917401E-13</v>
      </c>
      <c r="E249">
        <f t="shared" si="54"/>
        <v>0.13436771043344986</v>
      </c>
      <c r="F249">
        <f t="shared" si="47"/>
        <v>0.14429506848197798</v>
      </c>
      <c r="G249" s="22">
        <f t="shared" si="55"/>
        <v>1.4064581892917396E-13</v>
      </c>
      <c r="H249" s="21">
        <v>4.6246608891802298E-4</v>
      </c>
      <c r="I249">
        <f t="shared" si="48"/>
        <v>3.4329724081785314E-2</v>
      </c>
      <c r="J249" s="22">
        <f t="shared" si="56"/>
        <v>4.6246608891802298E-4</v>
      </c>
      <c r="K249">
        <f t="shared" si="57"/>
        <v>3.3747144728268119E-2</v>
      </c>
      <c r="L249">
        <v>7.1211431181837925E-3</v>
      </c>
      <c r="M249">
        <f t="shared" si="49"/>
        <v>3.3747144728268119E-2</v>
      </c>
      <c r="N249">
        <f t="shared" si="50"/>
        <v>4.6246608891802298E-4</v>
      </c>
      <c r="O249">
        <v>1.4064581892917396E-13</v>
      </c>
      <c r="P249">
        <f t="shared" si="51"/>
        <v>4.6246608877737719E-4</v>
      </c>
      <c r="Q249">
        <f t="shared" si="52"/>
        <v>0.99953753391108202</v>
      </c>
      <c r="R249">
        <f t="shared" si="53"/>
        <v>1</v>
      </c>
      <c r="S249">
        <v>3.3754996543001753E-10</v>
      </c>
      <c r="T249">
        <v>0.48558939321624606</v>
      </c>
      <c r="U249">
        <f t="shared" si="58"/>
        <v>0.49406919026303009</v>
      </c>
      <c r="V249">
        <v>2.3123304449839234E-4</v>
      </c>
      <c r="W249">
        <f t="shared" si="59"/>
        <v>2.3527104292740003E-4</v>
      </c>
    </row>
    <row r="250" spans="1:23">
      <c r="A250">
        <v>247</v>
      </c>
      <c r="B250">
        <f t="shared" si="45"/>
        <v>85.583333333333329</v>
      </c>
      <c r="C250">
        <f t="shared" si="46"/>
        <v>0.49258116335123703</v>
      </c>
      <c r="D250" s="21">
        <v>1.21733274673571E-13</v>
      </c>
      <c r="E250">
        <f t="shared" si="54"/>
        <v>0.13446929599184843</v>
      </c>
      <c r="F250">
        <f t="shared" si="47"/>
        <v>0.14441242953797584</v>
      </c>
      <c r="G250" s="22">
        <f t="shared" si="55"/>
        <v>1.2173327467357095E-13</v>
      </c>
      <c r="H250" s="21">
        <v>4.4685294164607098E-4</v>
      </c>
      <c r="I250">
        <f t="shared" si="48"/>
        <v>3.4343682127505326E-2</v>
      </c>
      <c r="J250" s="22">
        <f t="shared" si="56"/>
        <v>4.4685294164607098E-4</v>
      </c>
      <c r="K250">
        <f t="shared" si="57"/>
        <v>3.3760631635673444E-2</v>
      </c>
      <c r="L250">
        <v>7.1211431181837925E-3</v>
      </c>
      <c r="M250">
        <f t="shared" si="49"/>
        <v>3.3760631635673444E-2</v>
      </c>
      <c r="N250">
        <f t="shared" si="50"/>
        <v>4.4685294164607098E-4</v>
      </c>
      <c r="O250">
        <v>1.2173327467357095E-13</v>
      </c>
      <c r="P250">
        <f t="shared" si="51"/>
        <v>4.4685294152433768E-4</v>
      </c>
      <c r="Q250">
        <f t="shared" si="52"/>
        <v>0.99955314705835396</v>
      </c>
      <c r="R250">
        <f t="shared" si="53"/>
        <v>1</v>
      </c>
      <c r="S250">
        <v>2.9215985921657026E-10</v>
      </c>
      <c r="T250">
        <v>0.46919558860055455</v>
      </c>
      <c r="U250">
        <f t="shared" si="58"/>
        <v>0.47739249122325522</v>
      </c>
      <c r="V250">
        <v>2.234264708571208E-4</v>
      </c>
      <c r="W250">
        <f t="shared" si="59"/>
        <v>2.2732975767775657E-4</v>
      </c>
    </row>
    <row r="251" spans="1:23">
      <c r="A251">
        <v>248</v>
      </c>
      <c r="B251">
        <f t="shared" si="45"/>
        <v>85.666666666666671</v>
      </c>
      <c r="C251">
        <f t="shared" si="46"/>
        <v>0.49117106098141811</v>
      </c>
      <c r="D251" s="21">
        <v>1.05351562100319E-13</v>
      </c>
      <c r="E251">
        <f t="shared" si="54"/>
        <v>0.13457054052952844</v>
      </c>
      <c r="F251">
        <f t="shared" si="47"/>
        <v>0.14452941032116381</v>
      </c>
      <c r="G251" s="22">
        <f t="shared" si="55"/>
        <v>1.0535156210031895E-13</v>
      </c>
      <c r="H251" s="21">
        <v>4.3176089947132598E-4</v>
      </c>
      <c r="I251">
        <f t="shared" si="48"/>
        <v>3.4357589303372196E-2</v>
      </c>
      <c r="J251" s="22">
        <f t="shared" si="56"/>
        <v>4.3176089947132598E-4</v>
      </c>
      <c r="K251">
        <f t="shared" si="57"/>
        <v>3.3774069203059254E-2</v>
      </c>
      <c r="L251">
        <v>7.1211431181837925E-3</v>
      </c>
      <c r="M251">
        <f t="shared" si="49"/>
        <v>3.3774069203059254E-2</v>
      </c>
      <c r="N251">
        <f t="shared" si="50"/>
        <v>4.3176089947132598E-4</v>
      </c>
      <c r="O251">
        <v>1.0535156210031895E-13</v>
      </c>
      <c r="P251">
        <f t="shared" si="51"/>
        <v>4.3176089936597443E-4</v>
      </c>
      <c r="Q251">
        <f t="shared" si="52"/>
        <v>0.99956823910052872</v>
      </c>
      <c r="R251">
        <f t="shared" si="53"/>
        <v>1</v>
      </c>
      <c r="S251">
        <v>2.5284374904076547E-10</v>
      </c>
      <c r="T251">
        <v>0.45334894433427314</v>
      </c>
      <c r="U251">
        <f t="shared" si="58"/>
        <v>0.46127226673991562</v>
      </c>
      <c r="V251">
        <v>2.1588044976516145E-4</v>
      </c>
      <c r="W251">
        <f t="shared" si="59"/>
        <v>2.1965346031114114E-4</v>
      </c>
    </row>
    <row r="252" spans="1:23">
      <c r="A252">
        <v>249</v>
      </c>
      <c r="B252">
        <f t="shared" si="45"/>
        <v>85.75</v>
      </c>
      <c r="C252">
        <f t="shared" si="46"/>
        <v>0.48976499528380929</v>
      </c>
      <c r="D252" s="21">
        <v>9.1163714835680406E-14</v>
      </c>
      <c r="E252">
        <f t="shared" si="54"/>
        <v>0.13467144655271923</v>
      </c>
      <c r="F252">
        <f t="shared" si="47"/>
        <v>0.14464601359273846</v>
      </c>
      <c r="G252" s="22">
        <f t="shared" si="55"/>
        <v>9.1163714835680368E-14</v>
      </c>
      <c r="H252" s="21">
        <v>4.1717279629681001E-4</v>
      </c>
      <c r="I252">
        <f t="shared" si="48"/>
        <v>3.4371445999199841E-2</v>
      </c>
      <c r="J252" s="22">
        <f t="shared" si="56"/>
        <v>4.1717279629681001E-4</v>
      </c>
      <c r="K252">
        <f t="shared" si="57"/>
        <v>3.3787457809121957E-2</v>
      </c>
      <c r="L252">
        <v>7.1211431181837925E-3</v>
      </c>
      <c r="M252">
        <f t="shared" si="49"/>
        <v>3.3787457809121957E-2</v>
      </c>
      <c r="N252">
        <f t="shared" si="50"/>
        <v>4.1717279629681001E-4</v>
      </c>
      <c r="O252">
        <v>9.1163714835680368E-14</v>
      </c>
      <c r="P252">
        <f t="shared" si="51"/>
        <v>4.1717279620564628E-4</v>
      </c>
      <c r="Q252">
        <f t="shared" si="52"/>
        <v>0.99958282720370317</v>
      </c>
      <c r="R252">
        <f t="shared" si="53"/>
        <v>1</v>
      </c>
      <c r="S252">
        <v>2.1879291560563288E-10</v>
      </c>
      <c r="T252">
        <v>0.43803143601592859</v>
      </c>
      <c r="U252">
        <f t="shared" si="58"/>
        <v>0.44569019041091917</v>
      </c>
      <c r="V252">
        <v>2.0858639817393084E-4</v>
      </c>
      <c r="W252">
        <f t="shared" si="59"/>
        <v>2.1223342396954614E-4</v>
      </c>
    </row>
    <row r="253" spans="1:23">
      <c r="A253">
        <v>250</v>
      </c>
      <c r="B253">
        <f t="shared" si="45"/>
        <v>85.833333333333329</v>
      </c>
      <c r="C253">
        <f t="shared" si="46"/>
        <v>0.48836295470270874</v>
      </c>
      <c r="D253" s="21">
        <v>7.8877397152067097E-14</v>
      </c>
      <c r="E253">
        <f t="shared" si="54"/>
        <v>0.13477201653924475</v>
      </c>
      <c r="F253">
        <f t="shared" si="47"/>
        <v>0.14476224208281535</v>
      </c>
      <c r="G253" s="22">
        <f t="shared" si="55"/>
        <v>7.8877397152067059E-14</v>
      </c>
      <c r="H253" s="21">
        <v>4.0307202294978197E-4</v>
      </c>
      <c r="I253">
        <f t="shared" si="48"/>
        <v>3.4385252600258397E-2</v>
      </c>
      <c r="J253" s="22">
        <f t="shared" si="56"/>
        <v>4.0307202294978197E-4</v>
      </c>
      <c r="K253">
        <f t="shared" si="57"/>
        <v>3.3800797828139384E-2</v>
      </c>
      <c r="L253">
        <v>7.1211431181837925E-3</v>
      </c>
      <c r="M253">
        <f t="shared" si="49"/>
        <v>3.3800797828139384E-2</v>
      </c>
      <c r="N253">
        <f t="shared" si="50"/>
        <v>4.0307202294978197E-4</v>
      </c>
      <c r="O253">
        <v>7.8877397152067059E-14</v>
      </c>
      <c r="P253">
        <f t="shared" si="51"/>
        <v>4.0307202287090458E-4</v>
      </c>
      <c r="Q253">
        <f t="shared" si="52"/>
        <v>0.99959692797705024</v>
      </c>
      <c r="R253">
        <f t="shared" si="53"/>
        <v>1</v>
      </c>
      <c r="S253">
        <v>1.8930575316496095E-10</v>
      </c>
      <c r="T253">
        <v>0.4232256240144498</v>
      </c>
      <c r="U253">
        <f t="shared" si="58"/>
        <v>0.43062853021923853</v>
      </c>
      <c r="V253">
        <v>2.0153601149697667E-4</v>
      </c>
      <c r="W253">
        <f t="shared" si="59"/>
        <v>2.0506120483545375E-4</v>
      </c>
    </row>
    <row r="254" spans="1:23">
      <c r="A254">
        <v>251</v>
      </c>
      <c r="B254">
        <f t="shared" si="45"/>
        <v>85.916666666666671</v>
      </c>
      <c r="C254">
        <f t="shared" si="46"/>
        <v>0.48696492771549515</v>
      </c>
      <c r="D254" s="21">
        <v>6.8239024892205603E-14</v>
      </c>
      <c r="E254">
        <f t="shared" si="54"/>
        <v>0.13487225293897387</v>
      </c>
      <c r="F254">
        <f t="shared" si="47"/>
        <v>0.14487809849092051</v>
      </c>
      <c r="G254" s="22">
        <f t="shared" si="55"/>
        <v>6.8239024892205578E-14</v>
      </c>
      <c r="H254" s="21">
        <v>3.8944250943839798E-4</v>
      </c>
      <c r="I254">
        <f t="shared" si="48"/>
        <v>3.4399009487341578E-2</v>
      </c>
      <c r="J254" s="22">
        <f t="shared" si="56"/>
        <v>3.8944250943839798E-4</v>
      </c>
      <c r="K254">
        <f t="shared" si="57"/>
        <v>3.3814089630036404E-2</v>
      </c>
      <c r="L254">
        <v>7.1211431181837925E-3</v>
      </c>
      <c r="M254">
        <f t="shared" si="49"/>
        <v>3.3814089630036404E-2</v>
      </c>
      <c r="N254">
        <f t="shared" si="50"/>
        <v>3.8944250943839798E-4</v>
      </c>
      <c r="O254">
        <v>6.8239024892205578E-14</v>
      </c>
      <c r="P254">
        <f t="shared" si="51"/>
        <v>3.8944250937015894E-4</v>
      </c>
      <c r="Q254">
        <f t="shared" si="52"/>
        <v>0.9996105574905616</v>
      </c>
      <c r="R254">
        <f t="shared" si="53"/>
        <v>1</v>
      </c>
      <c r="S254">
        <v>1.6377365974129338E-10</v>
      </c>
      <c r="T254">
        <v>0.40891463483866691</v>
      </c>
      <c r="U254">
        <f t="shared" si="58"/>
        <v>0.41607012960309808</v>
      </c>
      <c r="V254">
        <v>1.9472125473830591E-4</v>
      </c>
      <c r="W254">
        <f t="shared" si="59"/>
        <v>1.9812863311764129E-4</v>
      </c>
    </row>
    <row r="255" spans="1:23">
      <c r="A255">
        <v>252</v>
      </c>
      <c r="B255">
        <f t="shared" si="45"/>
        <v>86</v>
      </c>
      <c r="C255">
        <f t="shared" si="46"/>
        <v>0.48557090283253235</v>
      </c>
      <c r="D255" s="21">
        <v>5.9028656430797904E-14</v>
      </c>
      <c r="E255">
        <f t="shared" si="54"/>
        <v>0.13497215817425501</v>
      </c>
      <c r="F255">
        <f t="shared" si="47"/>
        <v>0.14499358548646463</v>
      </c>
      <c r="G255" s="22">
        <f t="shared" si="55"/>
        <v>5.9028656430797878E-14</v>
      </c>
      <c r="H255" s="21">
        <v>3.7626870776120898E-4</v>
      </c>
      <c r="I255">
        <f t="shared" si="48"/>
        <v>3.4412717036856867E-2</v>
      </c>
      <c r="J255" s="22">
        <f t="shared" si="56"/>
        <v>3.7626870776120898E-4</v>
      </c>
      <c r="K255">
        <f t="shared" si="57"/>
        <v>3.3827333580472518E-2</v>
      </c>
      <c r="L255">
        <v>8.0914290970839353E-3</v>
      </c>
      <c r="M255">
        <f t="shared" si="49"/>
        <v>3.3827333580472518E-2</v>
      </c>
      <c r="N255">
        <f t="shared" si="50"/>
        <v>3.7626870776120898E-4</v>
      </c>
      <c r="O255">
        <v>5.9028656430797878E-14</v>
      </c>
      <c r="P255">
        <f t="shared" si="51"/>
        <v>3.762687077021803E-4</v>
      </c>
      <c r="Q255">
        <f t="shared" si="52"/>
        <v>0.9996237312922388</v>
      </c>
      <c r="R255">
        <f t="shared" si="53"/>
        <v>1</v>
      </c>
      <c r="S255">
        <v>1.4166877543391492E-10</v>
      </c>
      <c r="T255">
        <v>0.39508214308728934</v>
      </c>
      <c r="U255">
        <f t="shared" si="58"/>
        <v>0.40199838911569935</v>
      </c>
      <c r="V255">
        <v>1.881343538971325E-4</v>
      </c>
      <c r="W255">
        <f t="shared" si="59"/>
        <v>1.9142780431771921E-4</v>
      </c>
    </row>
    <row r="256" spans="1:23">
      <c r="A256">
        <v>253</v>
      </c>
      <c r="B256">
        <f t="shared" si="45"/>
        <v>86.083333333333329</v>
      </c>
      <c r="C256">
        <f t="shared" si="46"/>
        <v>0.4841808685970756</v>
      </c>
      <c r="D256" s="21">
        <v>5.1055553413203498E-14</v>
      </c>
      <c r="E256">
        <f t="shared" si="54"/>
        <v>0.13507173464030398</v>
      </c>
      <c r="F256">
        <f t="shared" si="47"/>
        <v>0.14510870570916315</v>
      </c>
      <c r="G256" s="22">
        <f t="shared" si="55"/>
        <v>5.1055553413203472E-14</v>
      </c>
      <c r="H256" s="21">
        <v>3.6353557525277403E-4</v>
      </c>
      <c r="I256">
        <f t="shared" si="48"/>
        <v>3.4426375620860886E-2</v>
      </c>
      <c r="J256" s="22">
        <f t="shared" si="56"/>
        <v>3.6353557525277403E-4</v>
      </c>
      <c r="K256">
        <f t="shared" si="57"/>
        <v>3.3840530040876504E-2</v>
      </c>
      <c r="L256">
        <v>8.0914290970839353E-3</v>
      </c>
      <c r="M256">
        <f t="shared" si="49"/>
        <v>3.3840530040876504E-2</v>
      </c>
      <c r="N256">
        <f t="shared" si="50"/>
        <v>3.6353557525277403E-4</v>
      </c>
      <c r="O256">
        <v>5.1055553413203472E-14</v>
      </c>
      <c r="P256">
        <f t="shared" si="51"/>
        <v>3.6353557520171846E-4</v>
      </c>
      <c r="Q256">
        <f t="shared" si="52"/>
        <v>0.99963646442474718</v>
      </c>
      <c r="R256">
        <f t="shared" si="53"/>
        <v>1</v>
      </c>
      <c r="S256">
        <v>1.2253332819168833E-10</v>
      </c>
      <c r="T256">
        <v>0.38171235396180436</v>
      </c>
      <c r="U256">
        <f t="shared" si="58"/>
        <v>0.38839724865664793</v>
      </c>
      <c r="V256">
        <v>1.8176778764068257E-4</v>
      </c>
      <c r="W256">
        <f t="shared" si="59"/>
        <v>1.8495107076890754E-4</v>
      </c>
    </row>
    <row r="257" spans="1:23">
      <c r="A257">
        <v>254</v>
      </c>
      <c r="B257">
        <f t="shared" si="45"/>
        <v>86.166666666666671</v>
      </c>
      <c r="C257">
        <f t="shared" si="46"/>
        <v>0.48279481358517712</v>
      </c>
      <c r="D257" s="21">
        <v>4.4154323983648602E-14</v>
      </c>
      <c r="E257">
        <f t="shared" si="54"/>
        <v>0.13517098470565525</v>
      </c>
      <c r="F257">
        <f t="shared" si="47"/>
        <v>0.14522346176953096</v>
      </c>
      <c r="G257" s="22">
        <f t="shared" si="55"/>
        <v>4.4154323983648584E-14</v>
      </c>
      <c r="H257" s="21">
        <v>3.5122855844910698E-4</v>
      </c>
      <c r="I257">
        <f t="shared" si="48"/>
        <v>3.4439985607161133E-2</v>
      </c>
      <c r="J257" s="22">
        <f t="shared" si="56"/>
        <v>3.5122855844910698E-4</v>
      </c>
      <c r="K257">
        <f t="shared" si="57"/>
        <v>3.385367936854522E-2</v>
      </c>
      <c r="L257">
        <v>8.0914290970839353E-3</v>
      </c>
      <c r="M257">
        <f t="shared" si="49"/>
        <v>3.385367936854522E-2</v>
      </c>
      <c r="N257">
        <f t="shared" si="50"/>
        <v>3.5122855844910698E-4</v>
      </c>
      <c r="O257">
        <v>4.4154323983648584E-14</v>
      </c>
      <c r="P257">
        <f t="shared" si="51"/>
        <v>3.5122855840495263E-4</v>
      </c>
      <c r="Q257">
        <f t="shared" si="52"/>
        <v>0.99964877144155084</v>
      </c>
      <c r="R257">
        <f t="shared" si="53"/>
        <v>1</v>
      </c>
      <c r="S257">
        <v>1.059703775607566E-10</v>
      </c>
      <c r="T257">
        <v>0.36878998632520027</v>
      </c>
      <c r="U257">
        <f t="shared" si="58"/>
        <v>0.37525117025775417</v>
      </c>
      <c r="V257">
        <v>1.7561427923691667E-4</v>
      </c>
      <c r="W257">
        <f t="shared" si="59"/>
        <v>1.7869103343879961E-4</v>
      </c>
    </row>
    <row r="258" spans="1:23">
      <c r="A258">
        <v>255</v>
      </c>
      <c r="B258">
        <f t="shared" si="45"/>
        <v>86.25</v>
      </c>
      <c r="C258">
        <f t="shared" si="46"/>
        <v>0.48141272640559202</v>
      </c>
      <c r="D258" s="21">
        <v>3.8181572520808199E-14</v>
      </c>
      <c r="E258">
        <f t="shared" si="54"/>
        <v>0.13526991071253303</v>
      </c>
      <c r="F258">
        <f t="shared" si="47"/>
        <v>0.1453378562492843</v>
      </c>
      <c r="G258" s="22">
        <f t="shared" si="55"/>
        <v>3.8181572520808187E-14</v>
      </c>
      <c r="H258" s="21">
        <v>3.3933357745719999E-4</v>
      </c>
      <c r="I258">
        <f t="shared" si="48"/>
        <v>3.4453547359356733E-2</v>
      </c>
      <c r="J258" s="22">
        <f t="shared" si="56"/>
        <v>3.3933357745719999E-4</v>
      </c>
      <c r="K258">
        <f t="shared" si="57"/>
        <v>3.3866781916683353E-2</v>
      </c>
      <c r="L258">
        <v>8.0914290970839353E-3</v>
      </c>
      <c r="M258">
        <f t="shared" si="49"/>
        <v>3.3866781916683353E-2</v>
      </c>
      <c r="N258">
        <f t="shared" si="50"/>
        <v>3.3933357745719999E-4</v>
      </c>
      <c r="O258">
        <v>3.8181572520808187E-14</v>
      </c>
      <c r="P258">
        <f t="shared" si="51"/>
        <v>3.393335774190184E-4</v>
      </c>
      <c r="Q258">
        <f t="shared" si="52"/>
        <v>0.99966066642254281</v>
      </c>
      <c r="R258">
        <f t="shared" si="53"/>
        <v>1</v>
      </c>
      <c r="S258">
        <v>9.1635774049939643E-11</v>
      </c>
      <c r="T258">
        <v>0.35630025628996931</v>
      </c>
      <c r="U258">
        <f t="shared" si="58"/>
        <v>0.36254512140638784</v>
      </c>
      <c r="V258">
        <v>1.6966678873929082E-4</v>
      </c>
      <c r="W258">
        <f t="shared" si="59"/>
        <v>1.7264053398810374E-4</v>
      </c>
    </row>
    <row r="259" spans="1:23">
      <c r="A259">
        <v>256</v>
      </c>
      <c r="B259">
        <f t="shared" ref="B259:B322" si="60">(start_age*12+A259)/12</f>
        <v>86.333333333333329</v>
      </c>
      <c r="C259">
        <f t="shared" ref="C259:C322" si="61">1/(1+Disc_rate_per_cyc)^$A259</f>
        <v>0.48003459569968543</v>
      </c>
      <c r="D259" s="21">
        <v>3.3012989749170297E-14</v>
      </c>
      <c r="E259">
        <f t="shared" si="54"/>
        <v>0.13536851497724789</v>
      </c>
      <c r="F259">
        <f t="shared" si="47"/>
        <v>0.14545189170177325</v>
      </c>
      <c r="G259" s="22">
        <f t="shared" si="55"/>
        <v>3.3012989749170285E-14</v>
      </c>
      <c r="H259" s="21">
        <v>3.27837010813291E-4</v>
      </c>
      <c r="I259">
        <f t="shared" si="48"/>
        <v>3.446706123691224E-2</v>
      </c>
      <c r="J259" s="22">
        <f t="shared" si="56"/>
        <v>3.27837010813291E-4</v>
      </c>
      <c r="K259">
        <f t="shared" si="57"/>
        <v>3.3879838034475251E-2</v>
      </c>
      <c r="L259">
        <v>8.0914290970839353E-3</v>
      </c>
      <c r="M259">
        <f t="shared" si="49"/>
        <v>3.3879838034475251E-2</v>
      </c>
      <c r="N259">
        <f t="shared" si="50"/>
        <v>3.27837010813291E-4</v>
      </c>
      <c r="O259">
        <v>3.3012989749170285E-14</v>
      </c>
      <c r="P259">
        <f t="shared" si="51"/>
        <v>3.2783701078027802E-4</v>
      </c>
      <c r="Q259">
        <f t="shared" si="52"/>
        <v>0.99967216298918671</v>
      </c>
      <c r="R259">
        <f t="shared" si="53"/>
        <v>1</v>
      </c>
      <c r="S259">
        <v>7.9231175398008686E-11</v>
      </c>
      <c r="T259">
        <v>0.34422886131929192</v>
      </c>
      <c r="U259">
        <f t="shared" si="58"/>
        <v>0.35026455889006408</v>
      </c>
      <c r="V259">
        <v>1.6391850541588914E-4</v>
      </c>
      <c r="W259">
        <f t="shared" si="59"/>
        <v>1.6679264707758999E-4</v>
      </c>
    </row>
    <row r="260" spans="1:23">
      <c r="A260">
        <v>257</v>
      </c>
      <c r="B260">
        <f t="shared" si="60"/>
        <v>86.416666666666671</v>
      </c>
      <c r="C260">
        <f t="shared" si="61"/>
        <v>0.47866041014133798</v>
      </c>
      <c r="D260" s="21">
        <v>2.8540825676330598E-14</v>
      </c>
      <c r="E260">
        <f t="shared" si="54"/>
        <v>0.1354667997905914</v>
      </c>
      <c r="F260">
        <f t="shared" ref="F260:F323" si="62">-LN(D260/D259)*PSA_SocHRsclr_pfs_VtUs</f>
        <v>0.14556557065241194</v>
      </c>
      <c r="G260" s="22">
        <f t="shared" si="55"/>
        <v>2.8540825676330585E-14</v>
      </c>
      <c r="H260" s="21">
        <v>3.1672568081500898E-4</v>
      </c>
      <c r="I260">
        <f t="shared" ref="I260:I323" si="63">-LN(H260/H259)*PSA_SocHRsclr_os_VtUs</f>
        <v>3.4480527595219988E-2</v>
      </c>
      <c r="J260" s="22">
        <f t="shared" si="56"/>
        <v>3.1672568081500898E-4</v>
      </c>
      <c r="K260">
        <f t="shared" si="57"/>
        <v>3.3892848067145542E-2</v>
      </c>
      <c r="L260">
        <v>8.0914290970839353E-3</v>
      </c>
      <c r="M260">
        <f t="shared" ref="M260:M323" si="64">MAX(K260:L260)</f>
        <v>3.3892848067145542E-2</v>
      </c>
      <c r="N260">
        <f t="shared" ref="N260:N323" si="65">N259*(1-M260)</f>
        <v>3.1672568081500898E-4</v>
      </c>
      <c r="O260">
        <v>2.8540825676330585E-14</v>
      </c>
      <c r="P260">
        <f t="shared" ref="P260:P323" si="66">N260-O260</f>
        <v>3.1672568078646817E-4</v>
      </c>
      <c r="Q260">
        <f t="shared" ref="Q260:Q323" si="67">1-N260</f>
        <v>0.99968327431918502</v>
      </c>
      <c r="R260">
        <f t="shared" ref="R260:R323" si="68">SUM(O260:Q260)</f>
        <v>1</v>
      </c>
      <c r="S260">
        <v>6.8497981623193402E-11</v>
      </c>
      <c r="T260">
        <v>0.33256196482579159</v>
      </c>
      <c r="U260">
        <f t="shared" si="58"/>
        <v>0.33839541314640631</v>
      </c>
      <c r="V260">
        <v>1.5836284041549593E-4</v>
      </c>
      <c r="W260">
        <f t="shared" si="59"/>
        <v>1.6114067291569253E-4</v>
      </c>
    </row>
    <row r="261" spans="1:23">
      <c r="A261">
        <v>258</v>
      </c>
      <c r="B261">
        <f t="shared" si="60"/>
        <v>86.5</v>
      </c>
      <c r="C261">
        <f t="shared" si="61"/>
        <v>0.47729015843685368</v>
      </c>
      <c r="D261" s="21">
        <v>2.46716952815948E-14</v>
      </c>
      <c r="E261">
        <f t="shared" ref="E261:E324" si="69">1-D261/D260</f>
        <v>0.13556476741822276</v>
      </c>
      <c r="F261">
        <f t="shared" si="62"/>
        <v>0.14567889559910061</v>
      </c>
      <c r="G261" s="22">
        <f t="shared" ref="G261:G324" si="70">G260*EXP(-F261)</f>
        <v>2.4671695281594788E-14</v>
      </c>
      <c r="H261" s="21">
        <v>3.0598683931296403E-4</v>
      </c>
      <c r="I261">
        <f t="shared" si="63"/>
        <v>3.4493946785658001E-2</v>
      </c>
      <c r="J261" s="22">
        <f t="shared" ref="J261:J324" si="71">J260*EXP(-I261)</f>
        <v>3.0598683931296403E-4</v>
      </c>
      <c r="K261">
        <f t="shared" ref="K261:K324" si="72">1-(J261/J260)</f>
        <v>3.390581235601553E-2</v>
      </c>
      <c r="L261">
        <v>8.0914290970839353E-3</v>
      </c>
      <c r="M261">
        <f t="shared" si="64"/>
        <v>3.390581235601553E-2</v>
      </c>
      <c r="N261">
        <f t="shared" si="65"/>
        <v>3.0598683931296403E-4</v>
      </c>
      <c r="O261">
        <v>2.4671695281594788E-14</v>
      </c>
      <c r="P261">
        <f t="shared" si="66"/>
        <v>3.0598683928829236E-4</v>
      </c>
      <c r="Q261">
        <f t="shared" si="67"/>
        <v>0.99969401316068707</v>
      </c>
      <c r="R261">
        <f t="shared" si="68"/>
        <v>1</v>
      </c>
      <c r="S261">
        <v>5.9212068675827485E-11</v>
      </c>
      <c r="T261">
        <v>0.32128618125270697</v>
      </c>
      <c r="U261">
        <f t="shared" ref="U261:U324" si="73">(S260+T260+S261+T261)/2</f>
        <v>0.32692407310310434</v>
      </c>
      <c r="V261">
        <v>1.5299341966339009E-4</v>
      </c>
      <c r="W261">
        <f t="shared" ref="W261:W324" si="74">(V260+V261)/2</f>
        <v>1.55678130039443E-4</v>
      </c>
    </row>
    <row r="262" spans="1:23">
      <c r="A262">
        <v>259</v>
      </c>
      <c r="B262">
        <f t="shared" si="60"/>
        <v>86.583333333333329</v>
      </c>
      <c r="C262">
        <f t="shared" si="61"/>
        <v>0.47592382932486693</v>
      </c>
      <c r="D262" s="21">
        <v>2.13246733916988E-14</v>
      </c>
      <c r="E262">
        <f t="shared" si="69"/>
        <v>0.13566242010101737</v>
      </c>
      <c r="F262">
        <f t="shared" si="62"/>
        <v>0.14579186901260349</v>
      </c>
      <c r="G262" s="22">
        <f t="shared" si="70"/>
        <v>2.1324673391698787E-14</v>
      </c>
      <c r="H262" s="21">
        <v>2.9560815394776702E-4</v>
      </c>
      <c r="I262">
        <f t="shared" si="63"/>
        <v>3.4507319155662297E-2</v>
      </c>
      <c r="J262" s="22">
        <f t="shared" si="71"/>
        <v>2.9560815394776702E-4</v>
      </c>
      <c r="K262">
        <f t="shared" si="72"/>
        <v>3.3918731238573474E-2</v>
      </c>
      <c r="L262">
        <v>8.0914290970839353E-3</v>
      </c>
      <c r="M262">
        <f t="shared" si="64"/>
        <v>3.3918731238573474E-2</v>
      </c>
      <c r="N262">
        <f t="shared" si="65"/>
        <v>2.9560815394776702E-4</v>
      </c>
      <c r="O262">
        <v>2.1324673391698787E-14</v>
      </c>
      <c r="P262">
        <f t="shared" si="66"/>
        <v>2.9560815392644233E-4</v>
      </c>
      <c r="Q262">
        <f t="shared" si="67"/>
        <v>0.9997043918460522</v>
      </c>
      <c r="R262">
        <f t="shared" si="68"/>
        <v>1</v>
      </c>
      <c r="S262">
        <v>5.1179216140077089E-11</v>
      </c>
      <c r="T262">
        <v>0.31038856162276446</v>
      </c>
      <c r="U262">
        <f t="shared" si="73"/>
        <v>0.31583737149293134</v>
      </c>
      <c r="V262">
        <v>1.478040769798544E-4</v>
      </c>
      <c r="W262">
        <f t="shared" si="74"/>
        <v>1.5039874832162224E-4</v>
      </c>
    </row>
    <row r="263" spans="1:23">
      <c r="A263">
        <v>260</v>
      </c>
      <c r="B263">
        <f t="shared" si="60"/>
        <v>86.666666666666671</v>
      </c>
      <c r="C263">
        <f t="shared" si="61"/>
        <v>0.47456141157624948</v>
      </c>
      <c r="D263" s="21">
        <v>1.84296408487808E-14</v>
      </c>
      <c r="E263">
        <f t="shared" si="69"/>
        <v>0.1357597600554562</v>
      </c>
      <c r="F263">
        <f t="shared" si="62"/>
        <v>0.145904493336975</v>
      </c>
      <c r="G263" s="22">
        <f t="shared" si="70"/>
        <v>1.8429640848780787E-14</v>
      </c>
      <c r="H263" s="21">
        <v>2.85577694818892E-4</v>
      </c>
      <c r="I263">
        <f t="shared" si="63"/>
        <v>3.4520645048763933E-2</v>
      </c>
      <c r="J263" s="22">
        <f t="shared" si="71"/>
        <v>2.85577694818892E-4</v>
      </c>
      <c r="K263">
        <f t="shared" si="72"/>
        <v>3.3931605048510782E-2</v>
      </c>
      <c r="L263">
        <v>8.0914290970839353E-3</v>
      </c>
      <c r="M263">
        <f t="shared" si="64"/>
        <v>3.3931605048510782E-2</v>
      </c>
      <c r="N263">
        <f t="shared" si="65"/>
        <v>2.85577694818892E-4</v>
      </c>
      <c r="O263">
        <v>1.8429640848780787E-14</v>
      </c>
      <c r="P263">
        <f t="shared" si="66"/>
        <v>2.8557769480046236E-4</v>
      </c>
      <c r="Q263">
        <f t="shared" si="67"/>
        <v>0.99971442230518115</v>
      </c>
      <c r="R263">
        <f t="shared" si="68"/>
        <v>1</v>
      </c>
      <c r="S263">
        <v>4.4231138037073889E-11</v>
      </c>
      <c r="T263">
        <v>0.2998565795404855</v>
      </c>
      <c r="U263">
        <f t="shared" si="73"/>
        <v>0.30512257062933013</v>
      </c>
      <c r="V263">
        <v>1.4278884741460629E-4</v>
      </c>
      <c r="W263">
        <f t="shared" si="74"/>
        <v>1.4529646219723036E-4</v>
      </c>
    </row>
    <row r="264" spans="1:23">
      <c r="A264">
        <v>261</v>
      </c>
      <c r="B264">
        <f t="shared" si="60"/>
        <v>86.75</v>
      </c>
      <c r="C264">
        <f t="shared" si="61"/>
        <v>0.47320289399401871</v>
      </c>
      <c r="D264" s="21">
        <v>1.5925849011907099E-14</v>
      </c>
      <c r="E264">
        <f t="shared" si="69"/>
        <v>0.13585678947397051</v>
      </c>
      <c r="F264">
        <f t="shared" si="62"/>
        <v>0.14601677098993426</v>
      </c>
      <c r="G264" s="22">
        <f t="shared" si="70"/>
        <v>1.5925849011907089E-14</v>
      </c>
      <c r="H264" s="21">
        <v>2.7588392157216801E-4</v>
      </c>
      <c r="I264">
        <f t="shared" si="63"/>
        <v>3.4533924804676833E-2</v>
      </c>
      <c r="J264" s="22">
        <f t="shared" si="71"/>
        <v>2.7588392157216801E-4</v>
      </c>
      <c r="K264">
        <f t="shared" si="72"/>
        <v>3.3944434115807276E-2</v>
      </c>
      <c r="L264">
        <v>8.0914290970839353E-3</v>
      </c>
      <c r="M264">
        <f t="shared" si="64"/>
        <v>3.3944434115807276E-2</v>
      </c>
      <c r="N264">
        <f t="shared" si="65"/>
        <v>2.7588392157216801E-4</v>
      </c>
      <c r="O264">
        <v>1.5925849011907089E-14</v>
      </c>
      <c r="P264">
        <f t="shared" si="66"/>
        <v>2.7588392155624217E-4</v>
      </c>
      <c r="Q264">
        <f t="shared" si="67"/>
        <v>0.99972411607842782</v>
      </c>
      <c r="R264">
        <f t="shared" si="68"/>
        <v>1</v>
      </c>
      <c r="S264">
        <v>3.8222037628577014E-11</v>
      </c>
      <c r="T264">
        <v>0.28967811763405427</v>
      </c>
      <c r="U264">
        <f t="shared" si="73"/>
        <v>0.29476734862849646</v>
      </c>
      <c r="V264">
        <v>1.3794196079054325E-4</v>
      </c>
      <c r="W264">
        <f t="shared" si="74"/>
        <v>1.4036540410257477E-4</v>
      </c>
    </row>
    <row r="265" spans="1:23">
      <c r="A265">
        <v>262</v>
      </c>
      <c r="B265">
        <f t="shared" si="60"/>
        <v>86.833333333333329</v>
      </c>
      <c r="C265">
        <f t="shared" si="61"/>
        <v>0.4718482654132452</v>
      </c>
      <c r="D265" s="21">
        <v>1.3760673930642599E-14</v>
      </c>
      <c r="E265">
        <f t="shared" si="69"/>
        <v>0.13595351052529048</v>
      </c>
      <c r="F265">
        <f t="shared" si="62"/>
        <v>0.14612870436324496</v>
      </c>
      <c r="G265" s="22">
        <f t="shared" si="70"/>
        <v>1.3760673930642592E-14</v>
      </c>
      <c r="H265" s="21">
        <v>2.6651567089310999E-4</v>
      </c>
      <c r="I265">
        <f t="shared" si="63"/>
        <v>3.4547158759328185E-2</v>
      </c>
      <c r="J265" s="22">
        <f t="shared" si="71"/>
        <v>2.6651567089310999E-4</v>
      </c>
      <c r="K265">
        <f t="shared" si="72"/>
        <v>3.3957218766760944E-2</v>
      </c>
      <c r="L265">
        <v>8.0914290970839353E-3</v>
      </c>
      <c r="M265">
        <f t="shared" si="64"/>
        <v>3.3957218766760944E-2</v>
      </c>
      <c r="N265">
        <f t="shared" si="65"/>
        <v>2.6651567089310999E-4</v>
      </c>
      <c r="O265">
        <v>1.3760673930642592E-14</v>
      </c>
      <c r="P265">
        <f t="shared" si="66"/>
        <v>2.665156708793493E-4</v>
      </c>
      <c r="Q265">
        <f t="shared" si="67"/>
        <v>0.99973348432910691</v>
      </c>
      <c r="R265">
        <f t="shared" si="68"/>
        <v>1</v>
      </c>
      <c r="S265">
        <v>3.3025617433542217E-11</v>
      </c>
      <c r="T265">
        <v>0.27984145442331676</v>
      </c>
      <c r="U265">
        <f t="shared" si="73"/>
        <v>0.28475978606430935</v>
      </c>
      <c r="V265">
        <v>1.3325783545040798E-4</v>
      </c>
      <c r="W265">
        <f t="shared" si="74"/>
        <v>1.3559989812047561E-4</v>
      </c>
    </row>
    <row r="266" spans="1:23">
      <c r="A266">
        <v>263</v>
      </c>
      <c r="B266">
        <f t="shared" si="60"/>
        <v>86.916666666666671</v>
      </c>
      <c r="C266">
        <f t="shared" si="61"/>
        <v>0.47049751470096152</v>
      </c>
      <c r="D266" s="21">
        <v>1.1888535269546701E-14</v>
      </c>
      <c r="E266">
        <f t="shared" si="69"/>
        <v>0.13604992535481675</v>
      </c>
      <c r="F266">
        <f t="shared" si="62"/>
        <v>0.14624029582312201</v>
      </c>
      <c r="G266" s="22">
        <f t="shared" si="70"/>
        <v>1.1888535269546694E-14</v>
      </c>
      <c r="H266" s="21">
        <v>2.5746214439364599E-4</v>
      </c>
      <c r="I266">
        <f t="shared" si="63"/>
        <v>3.4560347244934578E-2</v>
      </c>
      <c r="J266" s="22">
        <f t="shared" si="71"/>
        <v>2.5746214439364599E-4</v>
      </c>
      <c r="K266">
        <f t="shared" si="72"/>
        <v>3.3969959324061882E-2</v>
      </c>
      <c r="L266">
        <v>8.0914290970839353E-3</v>
      </c>
      <c r="M266">
        <f t="shared" si="64"/>
        <v>3.3969959324061882E-2</v>
      </c>
      <c r="N266">
        <f t="shared" si="65"/>
        <v>2.5746214439364599E-4</v>
      </c>
      <c r="O266">
        <v>1.1888535269546694E-14</v>
      </c>
      <c r="P266">
        <f t="shared" si="66"/>
        <v>2.5746214438175744E-4</v>
      </c>
      <c r="Q266">
        <f t="shared" si="67"/>
        <v>0.99974253785560641</v>
      </c>
      <c r="R266">
        <f t="shared" si="68"/>
        <v>1</v>
      </c>
      <c r="S266">
        <v>2.8532484646912066E-11</v>
      </c>
      <c r="T266">
        <v>0.27033525160084532</v>
      </c>
      <c r="U266">
        <f t="shared" si="73"/>
        <v>0.27508835304286011</v>
      </c>
      <c r="V266">
        <v>1.2873107220015177E-4</v>
      </c>
      <c r="W266">
        <f t="shared" si="74"/>
        <v>1.3099445382527987E-4</v>
      </c>
    </row>
    <row r="267" spans="1:23">
      <c r="A267">
        <v>264</v>
      </c>
      <c r="B267">
        <f t="shared" si="60"/>
        <v>87</v>
      </c>
      <c r="C267">
        <f t="shared" si="61"/>
        <v>0.46915063075606994</v>
      </c>
      <c r="D267" s="21">
        <v>1.02699583177421E-14</v>
      </c>
      <c r="E267">
        <f t="shared" si="69"/>
        <v>0.13614603608492437</v>
      </c>
      <c r="F267">
        <f t="shared" si="62"/>
        <v>0.14635154771056039</v>
      </c>
      <c r="G267" s="22">
        <f t="shared" si="70"/>
        <v>1.0269958317742094E-14</v>
      </c>
      <c r="H267" s="21">
        <v>2.4871289688019002E-4</v>
      </c>
      <c r="I267">
        <f t="shared" si="63"/>
        <v>3.4573490590039391E-2</v>
      </c>
      <c r="J267" s="22">
        <f t="shared" si="71"/>
        <v>2.4871289688019002E-4</v>
      </c>
      <c r="K267">
        <f t="shared" si="72"/>
        <v>3.3982656106828824E-2</v>
      </c>
      <c r="L267">
        <v>9.1460420288518307E-3</v>
      </c>
      <c r="M267">
        <f t="shared" si="64"/>
        <v>3.3982656106828824E-2</v>
      </c>
      <c r="N267">
        <f t="shared" si="65"/>
        <v>2.4871289688019002E-4</v>
      </c>
      <c r="O267">
        <v>1.0269958317742094E-14</v>
      </c>
      <c r="P267">
        <f t="shared" si="66"/>
        <v>2.4871289686992007E-4</v>
      </c>
      <c r="Q267">
        <f t="shared" si="67"/>
        <v>0.99975128710311978</v>
      </c>
      <c r="R267">
        <f t="shared" si="68"/>
        <v>1</v>
      </c>
      <c r="S267">
        <v>2.4647899962581024E-11</v>
      </c>
      <c r="T267">
        <v>0.26114854171341606</v>
      </c>
      <c r="U267">
        <f t="shared" si="73"/>
        <v>0.26574189668372089</v>
      </c>
      <c r="V267">
        <v>1.2435644844297061E-4</v>
      </c>
      <c r="W267">
        <f t="shared" si="74"/>
        <v>1.265437603215612E-4</v>
      </c>
    </row>
    <row r="268" spans="1:23">
      <c r="A268">
        <v>265</v>
      </c>
      <c r="B268">
        <f t="shared" si="60"/>
        <v>87.083333333333329</v>
      </c>
      <c r="C268">
        <f t="shared" si="61"/>
        <v>0.4678076025092518</v>
      </c>
      <c r="D268" s="21">
        <v>8.8707602503565807E-15</v>
      </c>
      <c r="E268">
        <f t="shared" si="69"/>
        <v>0.13624184481530976</v>
      </c>
      <c r="F268">
        <f t="shared" si="62"/>
        <v>0.14646246234171445</v>
      </c>
      <c r="G268" s="22">
        <f t="shared" si="70"/>
        <v>8.8707602503565759E-15</v>
      </c>
      <c r="H268" s="21">
        <v>2.4025782499134701E-4</v>
      </c>
      <c r="I268">
        <f t="shared" si="63"/>
        <v>3.4586589119586335E-2</v>
      </c>
      <c r="J268" s="22">
        <f t="shared" si="71"/>
        <v>2.4025782499134701E-4</v>
      </c>
      <c r="K268">
        <f t="shared" si="72"/>
        <v>3.399530943068052E-2</v>
      </c>
      <c r="L268">
        <v>9.1460420288518307E-3</v>
      </c>
      <c r="M268">
        <f t="shared" si="64"/>
        <v>3.399530943068052E-2</v>
      </c>
      <c r="N268">
        <f t="shared" si="65"/>
        <v>2.4025782499134701E-4</v>
      </c>
      <c r="O268">
        <v>8.8707602503565759E-15</v>
      </c>
      <c r="P268">
        <f t="shared" si="66"/>
        <v>2.4025782498247625E-4</v>
      </c>
      <c r="Q268">
        <f t="shared" si="67"/>
        <v>0.99975974217500863</v>
      </c>
      <c r="R268">
        <f t="shared" si="68"/>
        <v>1</v>
      </c>
      <c r="S268">
        <v>2.1289824600855783E-11</v>
      </c>
      <c r="T268">
        <v>0.25227071623160008</v>
      </c>
      <c r="U268">
        <f t="shared" si="73"/>
        <v>0.25670962899547689</v>
      </c>
      <c r="V268">
        <v>1.2012891249815732E-4</v>
      </c>
      <c r="W268">
        <f t="shared" si="74"/>
        <v>1.2224268047056396E-4</v>
      </c>
    </row>
    <row r="269" spans="1:23">
      <c r="A269">
        <v>266</v>
      </c>
      <c r="B269">
        <f t="shared" si="60"/>
        <v>87.166666666666671</v>
      </c>
      <c r="C269">
        <f t="shared" si="61"/>
        <v>0.46646841892287649</v>
      </c>
      <c r="D269" s="21">
        <v>7.6613442731959705E-15</v>
      </c>
      <c r="E269">
        <f t="shared" si="69"/>
        <v>0.13633735362332611</v>
      </c>
      <c r="F269">
        <f t="shared" si="62"/>
        <v>0.14657304200826396</v>
      </c>
      <c r="G269" s="22">
        <f t="shared" si="70"/>
        <v>7.6613442731959674E-15</v>
      </c>
      <c r="H269" s="21">
        <v>2.3208715619390499E-4</v>
      </c>
      <c r="I269">
        <f t="shared" si="63"/>
        <v>3.459964315494847E-2</v>
      </c>
      <c r="J269" s="22">
        <f t="shared" si="71"/>
        <v>2.3208715619390499E-4</v>
      </c>
      <c r="K269">
        <f t="shared" si="72"/>
        <v>3.400791960776417E-2</v>
      </c>
      <c r="L269">
        <v>9.1460420288518307E-3</v>
      </c>
      <c r="M269">
        <f t="shared" si="64"/>
        <v>3.400791960776417E-2</v>
      </c>
      <c r="N269">
        <f t="shared" si="65"/>
        <v>2.3208715619390499E-4</v>
      </c>
      <c r="O269">
        <v>7.6613442731959674E-15</v>
      </c>
      <c r="P269">
        <f t="shared" si="66"/>
        <v>2.3208715618624364E-4</v>
      </c>
      <c r="Q269">
        <f t="shared" si="67"/>
        <v>0.99976791284380606</v>
      </c>
      <c r="R269">
        <f t="shared" si="68"/>
        <v>1</v>
      </c>
      <c r="S269">
        <v>1.838722625567032E-11</v>
      </c>
      <c r="T269">
        <v>0.24369151399555583</v>
      </c>
      <c r="U269">
        <f t="shared" si="73"/>
        <v>0.24798111513341647</v>
      </c>
      <c r="V269">
        <v>1.1604357809909767E-4</v>
      </c>
      <c r="W269">
        <f t="shared" si="74"/>
        <v>1.1808624529862749E-4</v>
      </c>
    </row>
    <row r="270" spans="1:23">
      <c r="A270">
        <v>267</v>
      </c>
      <c r="B270">
        <f t="shared" si="60"/>
        <v>87.25</v>
      </c>
      <c r="C270">
        <f t="shared" si="61"/>
        <v>0.46513306899091028</v>
      </c>
      <c r="D270" s="21">
        <v>6.6160874259938104E-15</v>
      </c>
      <c r="E270">
        <f t="shared" si="69"/>
        <v>0.13643256456430275</v>
      </c>
      <c r="F270">
        <f t="shared" si="62"/>
        <v>0.14668328897776228</v>
      </c>
      <c r="G270" s="22">
        <f t="shared" si="70"/>
        <v>6.6160874259938072E-15</v>
      </c>
      <c r="H270" s="21">
        <v>2.2419143812608001E-4</v>
      </c>
      <c r="I270">
        <f t="shared" si="63"/>
        <v>3.4612653014019994E-2</v>
      </c>
      <c r="J270" s="22">
        <f t="shared" si="71"/>
        <v>2.2419143812608001E-4</v>
      </c>
      <c r="K270">
        <f t="shared" si="72"/>
        <v>3.4020486946844453E-2</v>
      </c>
      <c r="L270">
        <v>9.1460420288518307E-3</v>
      </c>
      <c r="M270">
        <f t="shared" si="64"/>
        <v>3.4020486946844453E-2</v>
      </c>
      <c r="N270">
        <f t="shared" si="65"/>
        <v>2.2419143812608001E-4</v>
      </c>
      <c r="O270">
        <v>6.6160874259938072E-15</v>
      </c>
      <c r="P270">
        <f t="shared" si="66"/>
        <v>2.2419143811946391E-4</v>
      </c>
      <c r="Q270">
        <f t="shared" si="67"/>
        <v>0.99977580856187387</v>
      </c>
      <c r="R270">
        <f t="shared" si="68"/>
        <v>1</v>
      </c>
      <c r="S270">
        <v>1.5878609822385139E-11</v>
      </c>
      <c r="T270">
        <v>0.23540101002543709</v>
      </c>
      <c r="U270">
        <f t="shared" si="73"/>
        <v>0.23954626202762938</v>
      </c>
      <c r="V270">
        <v>1.120957190648925E-4</v>
      </c>
      <c r="W270">
        <f t="shared" si="74"/>
        <v>1.1406964858199509E-4</v>
      </c>
    </row>
    <row r="271" spans="1:23">
      <c r="A271">
        <v>268</v>
      </c>
      <c r="B271">
        <f t="shared" si="60"/>
        <v>87.333333333333329</v>
      </c>
      <c r="C271">
        <f t="shared" si="61"/>
        <v>0.46380154173882654</v>
      </c>
      <c r="D271" s="21">
        <v>5.7128096844342801E-15</v>
      </c>
      <c r="E271">
        <f t="shared" si="69"/>
        <v>0.13652747967184664</v>
      </c>
      <c r="F271">
        <f t="shared" si="62"/>
        <v>0.1467932054939641</v>
      </c>
      <c r="G271" s="22">
        <f t="shared" si="70"/>
        <v>5.7128096844342778E-15</v>
      </c>
      <c r="H271" s="21">
        <v>2.1656152827734701E-4</v>
      </c>
      <c r="I271">
        <f t="shared" si="63"/>
        <v>3.4625619011207059E-2</v>
      </c>
      <c r="J271" s="22">
        <f t="shared" si="71"/>
        <v>2.1656152827734701E-4</v>
      </c>
      <c r="K271">
        <f t="shared" si="72"/>
        <v>3.4033011753294984E-2</v>
      </c>
      <c r="L271">
        <v>9.1460420288518307E-3</v>
      </c>
      <c r="M271">
        <f t="shared" si="64"/>
        <v>3.4033011753294984E-2</v>
      </c>
      <c r="N271">
        <f t="shared" si="65"/>
        <v>2.1656152827734701E-4</v>
      </c>
      <c r="O271">
        <v>5.7128096844342778E-15</v>
      </c>
      <c r="P271">
        <f t="shared" si="66"/>
        <v>2.1656152827163422E-4</v>
      </c>
      <c r="Q271">
        <f t="shared" si="67"/>
        <v>0.99978343847172269</v>
      </c>
      <c r="R271">
        <f t="shared" si="68"/>
        <v>1</v>
      </c>
      <c r="S271">
        <v>1.3710743242642267E-11</v>
      </c>
      <c r="T271">
        <v>0.22738960468521593</v>
      </c>
      <c r="U271">
        <f t="shared" si="73"/>
        <v>0.23139530737012121</v>
      </c>
      <c r="V271">
        <v>1.082807641402731E-4</v>
      </c>
      <c r="W271">
        <f t="shared" si="74"/>
        <v>1.101882416025828E-4</v>
      </c>
    </row>
    <row r="272" spans="1:23">
      <c r="A272">
        <v>269</v>
      </c>
      <c r="B272">
        <f t="shared" si="60"/>
        <v>87.416666666666671</v>
      </c>
      <c r="C272">
        <f t="shared" si="61"/>
        <v>0.46247382622351507</v>
      </c>
      <c r="D272" s="21">
        <v>4.9323136229727103E-15</v>
      </c>
      <c r="E272">
        <f t="shared" si="69"/>
        <v>0.13662210095816618</v>
      </c>
      <c r="F272">
        <f t="shared" si="62"/>
        <v>0.14690279377717946</v>
      </c>
      <c r="G272" s="22">
        <f t="shared" si="70"/>
        <v>4.9323136229727087E-15</v>
      </c>
      <c r="H272" s="21">
        <v>2.09188583994456E-4</v>
      </c>
      <c r="I272">
        <f t="shared" si="63"/>
        <v>3.4638541457540813E-2</v>
      </c>
      <c r="J272" s="22">
        <f t="shared" si="71"/>
        <v>2.09188583994456E-4</v>
      </c>
      <c r="K272">
        <f t="shared" si="72"/>
        <v>3.4045494329207893E-2</v>
      </c>
      <c r="L272">
        <v>9.1460420288518307E-3</v>
      </c>
      <c r="M272">
        <f t="shared" si="64"/>
        <v>3.4045494329207893E-2</v>
      </c>
      <c r="N272">
        <f t="shared" si="65"/>
        <v>2.09188583994456E-4</v>
      </c>
      <c r="O272">
        <v>4.9323136229727087E-15</v>
      </c>
      <c r="P272">
        <f t="shared" si="66"/>
        <v>2.0918858398952369E-4</v>
      </c>
      <c r="Q272">
        <f t="shared" si="67"/>
        <v>0.99979081141600556</v>
      </c>
      <c r="R272">
        <f t="shared" si="68"/>
        <v>1</v>
      </c>
      <c r="S272">
        <v>1.1837552695134502E-11</v>
      </c>
      <c r="T272">
        <v>0.21964801318899987</v>
      </c>
      <c r="U272">
        <f t="shared" si="73"/>
        <v>0.22351880894988208</v>
      </c>
      <c r="V272">
        <v>1.0459429199860906E-4</v>
      </c>
      <c r="W272">
        <f t="shared" si="74"/>
        <v>1.0643752806944108E-4</v>
      </c>
    </row>
    <row r="273" spans="1:23">
      <c r="A273">
        <v>270</v>
      </c>
      <c r="B273">
        <f t="shared" si="60"/>
        <v>87.5</v>
      </c>
      <c r="C273">
        <f t="shared" si="61"/>
        <v>0.46114991153319207</v>
      </c>
      <c r="D273" s="21">
        <v>4.2579853107557702E-15</v>
      </c>
      <c r="E273">
        <f t="shared" si="69"/>
        <v>0.13671643041435833</v>
      </c>
      <c r="F273">
        <f t="shared" si="62"/>
        <v>0.1470120560245857</v>
      </c>
      <c r="G273" s="22">
        <f t="shared" si="70"/>
        <v>4.2579853107557686E-15</v>
      </c>
      <c r="H273" s="21">
        <v>2.02064052803593E-4</v>
      </c>
      <c r="I273">
        <f t="shared" si="63"/>
        <v>3.4651420660694279E-2</v>
      </c>
      <c r="J273" s="22">
        <f t="shared" si="71"/>
        <v>2.02064052803593E-4</v>
      </c>
      <c r="K273">
        <f t="shared" si="72"/>
        <v>3.4057934973410475E-2</v>
      </c>
      <c r="L273">
        <v>9.1460420288518307E-3</v>
      </c>
      <c r="M273">
        <f t="shared" si="64"/>
        <v>3.4057934973410475E-2</v>
      </c>
      <c r="N273">
        <f t="shared" si="65"/>
        <v>2.02064052803593E-4</v>
      </c>
      <c r="O273">
        <v>4.2579853107557686E-15</v>
      </c>
      <c r="P273">
        <f t="shared" si="66"/>
        <v>2.0206405279933501E-4</v>
      </c>
      <c r="Q273">
        <f t="shared" si="67"/>
        <v>0.99979793594719646</v>
      </c>
      <c r="R273">
        <f t="shared" si="68"/>
        <v>1</v>
      </c>
      <c r="S273">
        <v>1.0219164745813845E-11</v>
      </c>
      <c r="T273">
        <v>0.21216725543930176</v>
      </c>
      <c r="U273">
        <f t="shared" si="73"/>
        <v>0.21590763432517918</v>
      </c>
      <c r="V273">
        <v>1.0103202640298873E-4</v>
      </c>
      <c r="W273">
        <f t="shared" si="74"/>
        <v>1.0281315920079889E-4</v>
      </c>
    </row>
    <row r="274" spans="1:23">
      <c r="A274">
        <v>271</v>
      </c>
      <c r="B274">
        <f t="shared" si="60"/>
        <v>87.583333333333329</v>
      </c>
      <c r="C274">
        <f t="shared" si="61"/>
        <v>0.45982978678731107</v>
      </c>
      <c r="D274" s="21">
        <v>3.6754483390924697E-15</v>
      </c>
      <c r="E274">
        <f t="shared" si="69"/>
        <v>0.13681047001073454</v>
      </c>
      <c r="F274">
        <f t="shared" si="62"/>
        <v>0.14712099441058471</v>
      </c>
      <c r="G274" s="22">
        <f t="shared" si="70"/>
        <v>3.6754483390924681E-15</v>
      </c>
      <c r="H274" s="21">
        <v>1.9517966303891999E-4</v>
      </c>
      <c r="I274">
        <f t="shared" si="63"/>
        <v>3.4664256925013667E-2</v>
      </c>
      <c r="J274" s="22">
        <f t="shared" si="71"/>
        <v>1.9517966303891999E-4</v>
      </c>
      <c r="K274">
        <f t="shared" si="72"/>
        <v>3.4070333981495726E-2</v>
      </c>
      <c r="L274">
        <v>9.1460420288518307E-3</v>
      </c>
      <c r="M274">
        <f t="shared" si="64"/>
        <v>3.4070333981495726E-2</v>
      </c>
      <c r="N274">
        <f t="shared" si="65"/>
        <v>1.9517966303891999E-4</v>
      </c>
      <c r="O274">
        <v>3.6754483390924681E-15</v>
      </c>
      <c r="P274">
        <f t="shared" si="66"/>
        <v>1.9517966303524454E-4</v>
      </c>
      <c r="Q274">
        <f t="shared" si="67"/>
        <v>0.99980482033696105</v>
      </c>
      <c r="R274">
        <f t="shared" si="68"/>
        <v>1</v>
      </c>
      <c r="S274">
        <v>8.8210760138219238E-12</v>
      </c>
      <c r="T274">
        <v>0.20493864618700677</v>
      </c>
      <c r="U274">
        <f t="shared" si="73"/>
        <v>0.20855295082267439</v>
      </c>
      <c r="V274">
        <v>9.7589831520489119E-5</v>
      </c>
      <c r="W274">
        <f t="shared" si="74"/>
        <v>9.9310928961738923E-5</v>
      </c>
    </row>
    <row r="275" spans="1:23">
      <c r="A275">
        <v>272</v>
      </c>
      <c r="B275">
        <f t="shared" si="60"/>
        <v>87.666666666666671</v>
      </c>
      <c r="C275">
        <f t="shared" si="61"/>
        <v>0.45851344113647291</v>
      </c>
      <c r="D275" s="21">
        <v>3.1722639448411401E-15</v>
      </c>
      <c r="E275">
        <f t="shared" si="69"/>
        <v>0.13690422169709349</v>
      </c>
      <c r="F275">
        <f t="shared" si="62"/>
        <v>0.14722961108709906</v>
      </c>
      <c r="G275" s="22">
        <f t="shared" si="70"/>
        <v>3.1722639448411389E-15</v>
      </c>
      <c r="H275" s="21">
        <v>1.88527414768011E-4</v>
      </c>
      <c r="I275">
        <f t="shared" si="63"/>
        <v>3.4677050551613242E-2</v>
      </c>
      <c r="J275" s="22">
        <f t="shared" si="71"/>
        <v>1.88527414768011E-4</v>
      </c>
      <c r="K275">
        <f t="shared" si="72"/>
        <v>3.4082691645914376E-2</v>
      </c>
      <c r="L275">
        <v>9.1460420288518307E-3</v>
      </c>
      <c r="M275">
        <f t="shared" si="64"/>
        <v>3.4082691645914376E-2</v>
      </c>
      <c r="N275">
        <f t="shared" si="65"/>
        <v>1.88527414768011E-4</v>
      </c>
      <c r="O275">
        <v>3.1722639448411389E-15</v>
      </c>
      <c r="P275">
        <f t="shared" si="66"/>
        <v>1.8852741476483873E-4</v>
      </c>
      <c r="Q275">
        <f t="shared" si="67"/>
        <v>0.99981147258523195</v>
      </c>
      <c r="R275">
        <f t="shared" si="68"/>
        <v>1</v>
      </c>
      <c r="S275">
        <v>7.6134334676187336E-12</v>
      </c>
      <c r="T275">
        <v>0.19795378550308068</v>
      </c>
      <c r="U275">
        <f t="shared" si="73"/>
        <v>0.201446215853261</v>
      </c>
      <c r="V275">
        <v>9.4263707384893732E-5</v>
      </c>
      <c r="W275">
        <f t="shared" si="74"/>
        <v>9.5926769452691425E-5</v>
      </c>
    </row>
    <row r="276" spans="1:23">
      <c r="A276">
        <v>273</v>
      </c>
      <c r="B276">
        <f t="shared" si="60"/>
        <v>87.75</v>
      </c>
      <c r="C276">
        <f t="shared" si="61"/>
        <v>0.45720086376233687</v>
      </c>
      <c r="D276" s="21">
        <v>2.7376711205660002E-15</v>
      </c>
      <c r="E276">
        <f t="shared" si="69"/>
        <v>0.13699768740299556</v>
      </c>
      <c r="F276">
        <f t="shared" si="62"/>
        <v>0.1473379081838703</v>
      </c>
      <c r="G276" s="22">
        <f t="shared" si="70"/>
        <v>2.737671120565999E-15</v>
      </c>
      <c r="H276" s="21">
        <v>1.8209957100501499E-4</v>
      </c>
      <c r="I276">
        <f t="shared" si="63"/>
        <v>3.4689801838391918E-2</v>
      </c>
      <c r="J276" s="22">
        <f t="shared" si="71"/>
        <v>1.8209957100501499E-4</v>
      </c>
      <c r="K276">
        <f t="shared" si="72"/>
        <v>3.409500825599121E-2</v>
      </c>
      <c r="L276">
        <v>9.1460420288518307E-3</v>
      </c>
      <c r="M276">
        <f t="shared" si="64"/>
        <v>3.409500825599121E-2</v>
      </c>
      <c r="N276">
        <f t="shared" si="65"/>
        <v>1.8209957100501499E-4</v>
      </c>
      <c r="O276">
        <v>2.737671120565999E-15</v>
      </c>
      <c r="P276">
        <f t="shared" si="66"/>
        <v>1.8209957100227733E-4</v>
      </c>
      <c r="Q276">
        <f t="shared" si="67"/>
        <v>0.99981790042899499</v>
      </c>
      <c r="R276">
        <f t="shared" si="68"/>
        <v>1</v>
      </c>
      <c r="S276">
        <v>6.5704106893583974E-12</v>
      </c>
      <c r="T276">
        <v>0.19120454955239119</v>
      </c>
      <c r="U276">
        <f t="shared" si="73"/>
        <v>0.19457916753482785</v>
      </c>
      <c r="V276">
        <v>9.104978550327404E-5</v>
      </c>
      <c r="W276">
        <f t="shared" si="74"/>
        <v>9.2656746444083886E-5</v>
      </c>
    </row>
    <row r="277" spans="1:23">
      <c r="A277">
        <v>274</v>
      </c>
      <c r="B277">
        <f t="shared" si="60"/>
        <v>87.833333333333329</v>
      </c>
      <c r="C277">
        <f t="shared" si="61"/>
        <v>0.45589204387753174</v>
      </c>
      <c r="D277" s="21">
        <v>2.36236140750712E-15</v>
      </c>
      <c r="E277">
        <f t="shared" si="69"/>
        <v>0.13709086903809198</v>
      </c>
      <c r="F277">
        <f t="shared" si="62"/>
        <v>0.14744588780882117</v>
      </c>
      <c r="G277" s="22">
        <f t="shared" si="70"/>
        <v>2.3623614075071192E-15</v>
      </c>
      <c r="H277" s="21">
        <v>1.7588864920262999E-4</v>
      </c>
      <c r="I277">
        <f t="shared" si="63"/>
        <v>3.4702511080070879E-2</v>
      </c>
      <c r="J277" s="22">
        <f t="shared" si="71"/>
        <v>1.7588864920262999E-4</v>
      </c>
      <c r="K277">
        <f t="shared" si="72"/>
        <v>3.410728409796171E-2</v>
      </c>
      <c r="L277">
        <v>9.1460420288518307E-3</v>
      </c>
      <c r="M277">
        <f t="shared" si="64"/>
        <v>3.410728409796171E-2</v>
      </c>
      <c r="N277">
        <f t="shared" si="65"/>
        <v>1.7588864920262999E-4</v>
      </c>
      <c r="O277">
        <v>2.3623614075071192E-15</v>
      </c>
      <c r="P277">
        <f t="shared" si="66"/>
        <v>1.7588864920026762E-4</v>
      </c>
      <c r="Q277">
        <f t="shared" si="67"/>
        <v>0.99982411135079741</v>
      </c>
      <c r="R277">
        <f t="shared" si="68"/>
        <v>1</v>
      </c>
      <c r="S277">
        <v>5.6696673780170865E-12</v>
      </c>
      <c r="T277">
        <v>0.184683081660281</v>
      </c>
      <c r="U277">
        <f t="shared" si="73"/>
        <v>0.18794381561245613</v>
      </c>
      <c r="V277">
        <v>8.7944324601976453E-5</v>
      </c>
      <c r="W277">
        <f t="shared" si="74"/>
        <v>8.9497055052625247E-5</v>
      </c>
    </row>
    <row r="278" spans="1:23">
      <c r="A278">
        <v>275</v>
      </c>
      <c r="B278">
        <f t="shared" si="60"/>
        <v>87.916666666666671</v>
      </c>
      <c r="C278">
        <f t="shared" si="61"/>
        <v>0.45458697072556675</v>
      </c>
      <c r="D278" s="21">
        <v>2.0382837670844101E-15</v>
      </c>
      <c r="E278">
        <f t="shared" si="69"/>
        <v>0.13718376849234626</v>
      </c>
      <c r="F278">
        <f t="shared" si="62"/>
        <v>0.14755355204829329</v>
      </c>
      <c r="G278" s="22">
        <f t="shared" si="70"/>
        <v>2.0382837670844093E-15</v>
      </c>
      <c r="H278" s="21">
        <v>1.6988741301423999E-4</v>
      </c>
      <c r="I278">
        <f t="shared" si="63"/>
        <v>3.4715178568264463E-2</v>
      </c>
      <c r="J278" s="22">
        <f t="shared" si="71"/>
        <v>1.6988741301423999E-4</v>
      </c>
      <c r="K278">
        <f t="shared" si="72"/>
        <v>3.4119519455040881E-2</v>
      </c>
      <c r="L278">
        <v>9.1460420288518307E-3</v>
      </c>
      <c r="M278">
        <f t="shared" si="64"/>
        <v>3.4119519455040881E-2</v>
      </c>
      <c r="N278">
        <f t="shared" si="65"/>
        <v>1.6988741301423999E-4</v>
      </c>
      <c r="O278">
        <v>2.0382837670844093E-15</v>
      </c>
      <c r="P278">
        <f t="shared" si="66"/>
        <v>1.6988741301220172E-4</v>
      </c>
      <c r="Q278">
        <f t="shared" si="67"/>
        <v>0.99983011258698573</v>
      </c>
      <c r="R278">
        <f t="shared" si="68"/>
        <v>1</v>
      </c>
      <c r="S278">
        <v>4.8918810410025826E-12</v>
      </c>
      <c r="T278">
        <v>0.17838178366281179</v>
      </c>
      <c r="U278">
        <f t="shared" si="73"/>
        <v>0.18153243266682717</v>
      </c>
      <c r="V278">
        <v>8.4943706507690719E-5</v>
      </c>
      <c r="W278">
        <f t="shared" si="74"/>
        <v>8.6444015554833586E-5</v>
      </c>
    </row>
    <row r="279" spans="1:23">
      <c r="A279">
        <v>276</v>
      </c>
      <c r="B279">
        <f t="shared" si="60"/>
        <v>88</v>
      </c>
      <c r="C279">
        <f t="shared" si="61"/>
        <v>0.45328563358074397</v>
      </c>
      <c r="D279" s="21">
        <v>1.7584755345612199E-15</v>
      </c>
      <c r="E279">
        <f t="shared" si="69"/>
        <v>0.13727638763636518</v>
      </c>
      <c r="F279">
        <f t="shared" si="62"/>
        <v>0.14766090296741213</v>
      </c>
      <c r="G279" s="22">
        <f t="shared" si="70"/>
        <v>1.7584755345612193E-15</v>
      </c>
      <c r="H279" s="21">
        <v>1.64088864317843E-4</v>
      </c>
      <c r="I279">
        <f t="shared" si="63"/>
        <v>3.4727804591489074E-2</v>
      </c>
      <c r="J279" s="22">
        <f t="shared" si="71"/>
        <v>1.64088864317843E-4</v>
      </c>
      <c r="K279">
        <f t="shared" si="72"/>
        <v>3.413171460743214E-2</v>
      </c>
      <c r="L279">
        <v>1.0424290461765739E-2</v>
      </c>
      <c r="M279">
        <f t="shared" si="64"/>
        <v>3.413171460743214E-2</v>
      </c>
      <c r="N279">
        <f t="shared" si="65"/>
        <v>1.64088864317843E-4</v>
      </c>
      <c r="O279">
        <v>1.7584755345612193E-15</v>
      </c>
      <c r="P279">
        <f t="shared" si="66"/>
        <v>1.6408886431608453E-4</v>
      </c>
      <c r="Q279">
        <f t="shared" si="67"/>
        <v>0.99983591113568215</v>
      </c>
      <c r="R279">
        <f t="shared" si="68"/>
        <v>1</v>
      </c>
      <c r="S279">
        <v>4.2203412829469262E-12</v>
      </c>
      <c r="T279">
        <v>0.17229330753188876</v>
      </c>
      <c r="U279">
        <f t="shared" si="73"/>
        <v>0.1753375456019064</v>
      </c>
      <c r="V279">
        <v>8.2044432159413875E-5</v>
      </c>
      <c r="W279">
        <f t="shared" si="74"/>
        <v>8.3494069333552297E-5</v>
      </c>
    </row>
    <row r="280" spans="1:23">
      <c r="A280">
        <v>277</v>
      </c>
      <c r="B280">
        <f t="shared" si="60"/>
        <v>88.083333333333329</v>
      </c>
      <c r="C280">
        <f t="shared" si="61"/>
        <v>0.45198802174806951</v>
      </c>
      <c r="D280" s="21">
        <v>1.5169159865938999E-15</v>
      </c>
      <c r="E280">
        <f t="shared" si="69"/>
        <v>0.13736872832159974</v>
      </c>
      <c r="F280">
        <f t="shared" si="62"/>
        <v>0.14776794261030157</v>
      </c>
      <c r="G280" s="22">
        <f t="shared" si="70"/>
        <v>1.5169159865938993E-15</v>
      </c>
      <c r="H280" s="21">
        <v>1.58486235493622E-4</v>
      </c>
      <c r="I280">
        <f t="shared" si="63"/>
        <v>3.4740389435277345E-2</v>
      </c>
      <c r="J280" s="22">
        <f t="shared" si="71"/>
        <v>1.58486235493622E-4</v>
      </c>
      <c r="K280">
        <f t="shared" si="72"/>
        <v>3.414386983243789E-2</v>
      </c>
      <c r="L280">
        <v>1.0424290461765739E-2</v>
      </c>
      <c r="M280">
        <f t="shared" si="64"/>
        <v>3.414386983243789E-2</v>
      </c>
      <c r="N280">
        <f t="shared" si="65"/>
        <v>1.58486235493622E-4</v>
      </c>
      <c r="O280">
        <v>1.5169159865938993E-15</v>
      </c>
      <c r="P280">
        <f t="shared" si="66"/>
        <v>1.5848623549210509E-4</v>
      </c>
      <c r="Q280">
        <f t="shared" si="67"/>
        <v>0.99984151376450636</v>
      </c>
      <c r="R280">
        <f t="shared" si="68"/>
        <v>1</v>
      </c>
      <c r="S280">
        <v>3.640598367825358E-12</v>
      </c>
      <c r="T280">
        <v>0.16641054726671034</v>
      </c>
      <c r="U280">
        <f t="shared" si="73"/>
        <v>0.16935192740323002</v>
      </c>
      <c r="V280">
        <v>7.9243117747235736E-5</v>
      </c>
      <c r="W280">
        <f t="shared" si="74"/>
        <v>8.0643774953324799E-5</v>
      </c>
    </row>
    <row r="281" spans="1:23">
      <c r="A281">
        <v>278</v>
      </c>
      <c r="B281">
        <f t="shared" si="60"/>
        <v>88.166666666666671</v>
      </c>
      <c r="C281">
        <f t="shared" si="61"/>
        <v>0.45069412456316571</v>
      </c>
      <c r="D281" s="21">
        <v>1.30839951310179E-15</v>
      </c>
      <c r="E281">
        <f t="shared" si="69"/>
        <v>0.13746079238067432</v>
      </c>
      <c r="F281">
        <f t="shared" si="62"/>
        <v>0.14787467300044768</v>
      </c>
      <c r="G281" s="22">
        <f t="shared" si="70"/>
        <v>1.3083995131017897E-15</v>
      </c>
      <c r="H281" s="21">
        <v>1.5307298194730499E-4</v>
      </c>
      <c r="I281">
        <f t="shared" si="63"/>
        <v>3.4752933382106797E-2</v>
      </c>
      <c r="J281" s="22">
        <f t="shared" si="71"/>
        <v>1.5307298194730499E-4</v>
      </c>
      <c r="K281">
        <f t="shared" si="72"/>
        <v>3.4155985404390909E-2</v>
      </c>
      <c r="L281">
        <v>1.0424290461765739E-2</v>
      </c>
      <c r="M281">
        <f t="shared" si="64"/>
        <v>3.4155985404390909E-2</v>
      </c>
      <c r="N281">
        <f t="shared" si="65"/>
        <v>1.5307298194730499E-4</v>
      </c>
      <c r="O281">
        <v>1.3083995131017897E-15</v>
      </c>
      <c r="P281">
        <f t="shared" si="66"/>
        <v>1.530729819459966E-4</v>
      </c>
      <c r="Q281">
        <f t="shared" si="67"/>
        <v>0.99984692701805267</v>
      </c>
      <c r="R281">
        <f t="shared" si="68"/>
        <v>1</v>
      </c>
      <c r="S281">
        <v>3.1401588314442951E-12</v>
      </c>
      <c r="T281">
        <v>0.16072663104329643</v>
      </c>
      <c r="U281">
        <f t="shared" si="73"/>
        <v>0.16356858915839376</v>
      </c>
      <c r="V281">
        <v>7.6536490974018847E-5</v>
      </c>
      <c r="W281">
        <f t="shared" si="74"/>
        <v>7.7889804360627298E-5</v>
      </c>
    </row>
    <row r="282" spans="1:23">
      <c r="A282">
        <v>279</v>
      </c>
      <c r="B282">
        <f t="shared" si="60"/>
        <v>88.25</v>
      </c>
      <c r="C282">
        <f t="shared" si="61"/>
        <v>0.44940393139218382</v>
      </c>
      <c r="D282" s="21">
        <v>1.1284257822743101E-15</v>
      </c>
      <c r="E282">
        <f t="shared" si="69"/>
        <v>0.13755258162762585</v>
      </c>
      <c r="F282">
        <f t="shared" si="62"/>
        <v>0.14798109614095797</v>
      </c>
      <c r="G282" s="22">
        <f t="shared" si="70"/>
        <v>1.1284257822743099E-15</v>
      </c>
      <c r="H282" s="21">
        <v>1.4784277487162799E-4</v>
      </c>
      <c r="I282">
        <f t="shared" si="63"/>
        <v>3.4765436711562292E-2</v>
      </c>
      <c r="J282" s="22">
        <f t="shared" si="71"/>
        <v>1.4784277487162799E-4</v>
      </c>
      <c r="K282">
        <f t="shared" si="72"/>
        <v>3.4168061594811561E-2</v>
      </c>
      <c r="L282">
        <v>1.0424290461765739E-2</v>
      </c>
      <c r="M282">
        <f t="shared" si="64"/>
        <v>3.4168061594811561E-2</v>
      </c>
      <c r="N282">
        <f t="shared" si="65"/>
        <v>1.4784277487162799E-4</v>
      </c>
      <c r="O282">
        <v>1.1284257822743099E-15</v>
      </c>
      <c r="P282">
        <f t="shared" si="66"/>
        <v>1.4784277487049955E-4</v>
      </c>
      <c r="Q282">
        <f t="shared" si="67"/>
        <v>0.99985215722512832</v>
      </c>
      <c r="R282">
        <f t="shared" si="68"/>
        <v>1</v>
      </c>
      <c r="S282">
        <v>2.7082218774583438E-12</v>
      </c>
      <c r="T282">
        <v>0.15523491361402453</v>
      </c>
      <c r="U282">
        <f t="shared" si="73"/>
        <v>0.15798077233158467</v>
      </c>
      <c r="V282">
        <v>7.3921387436129944E-5</v>
      </c>
      <c r="W282">
        <f t="shared" si="74"/>
        <v>7.5228939205074395E-5</v>
      </c>
    </row>
    <row r="283" spans="1:23">
      <c r="A283">
        <v>280</v>
      </c>
      <c r="B283">
        <f t="shared" si="60"/>
        <v>88.333333333333329</v>
      </c>
      <c r="C283">
        <f t="shared" si="61"/>
        <v>0.44811743163171658</v>
      </c>
      <c r="D283" s="21">
        <v>9.7310463347330993E-16</v>
      </c>
      <c r="E283">
        <f t="shared" si="69"/>
        <v>0.13764409785812837</v>
      </c>
      <c r="F283">
        <f t="shared" si="62"/>
        <v>0.14808721401480474</v>
      </c>
      <c r="G283" s="22">
        <f t="shared" si="70"/>
        <v>9.7310463347330973E-16</v>
      </c>
      <c r="H283" s="21">
        <v>1.42789494238519E-4</v>
      </c>
      <c r="I283">
        <f t="shared" si="63"/>
        <v>3.4777899700294913E-2</v>
      </c>
      <c r="J283" s="22">
        <f t="shared" si="71"/>
        <v>1.42789494238519E-4</v>
      </c>
      <c r="K283">
        <f t="shared" si="72"/>
        <v>3.4180098672368375E-2</v>
      </c>
      <c r="L283">
        <v>1.0424290461765739E-2</v>
      </c>
      <c r="M283">
        <f t="shared" si="64"/>
        <v>3.4180098672368375E-2</v>
      </c>
      <c r="N283">
        <f t="shared" si="65"/>
        <v>1.42789494238519E-4</v>
      </c>
      <c r="O283">
        <v>9.7310463347330973E-16</v>
      </c>
      <c r="P283">
        <f t="shared" si="66"/>
        <v>1.427894942375459E-4</v>
      </c>
      <c r="Q283">
        <f t="shared" si="67"/>
        <v>0.99985721050576148</v>
      </c>
      <c r="R283">
        <f t="shared" si="68"/>
        <v>1</v>
      </c>
      <c r="S283">
        <v>2.3354511203359433E-12</v>
      </c>
      <c r="T283">
        <v>0.1499289689494232</v>
      </c>
      <c r="U283">
        <f t="shared" si="73"/>
        <v>0.15258194128424568</v>
      </c>
      <c r="V283">
        <v>7.1394747119531973E-5</v>
      </c>
      <c r="W283">
        <f t="shared" si="74"/>
        <v>7.2658067277830952E-5</v>
      </c>
    </row>
    <row r="284" spans="1:23">
      <c r="A284">
        <v>281</v>
      </c>
      <c r="B284">
        <f t="shared" si="60"/>
        <v>88.416666666666671</v>
      </c>
      <c r="C284">
        <f t="shared" si="61"/>
        <v>0.44683461470871011</v>
      </c>
      <c r="D284" s="21">
        <v>8.3907373315317798E-16</v>
      </c>
      <c r="E284">
        <f t="shared" si="69"/>
        <v>0.13773534284975542</v>
      </c>
      <c r="F284">
        <f t="shared" si="62"/>
        <v>0.14819302858511188</v>
      </c>
      <c r="G284" s="22">
        <f t="shared" si="70"/>
        <v>8.3907373315317788E-16</v>
      </c>
      <c r="H284" s="21">
        <v>1.3790722201479299E-4</v>
      </c>
      <c r="I284">
        <f t="shared" si="63"/>
        <v>3.4790322622091481E-2</v>
      </c>
      <c r="J284" s="22">
        <f t="shared" si="71"/>
        <v>1.3790722201479299E-4</v>
      </c>
      <c r="K284">
        <f t="shared" si="72"/>
        <v>3.4192096902945446E-2</v>
      </c>
      <c r="L284">
        <v>1.0424290461765739E-2</v>
      </c>
      <c r="M284">
        <f t="shared" si="64"/>
        <v>3.4192096902945446E-2</v>
      </c>
      <c r="N284">
        <f t="shared" si="65"/>
        <v>1.3790722201479299E-4</v>
      </c>
      <c r="O284">
        <v>8.3907373315317788E-16</v>
      </c>
      <c r="P284">
        <f t="shared" si="66"/>
        <v>1.3790722201395393E-4</v>
      </c>
      <c r="Q284">
        <f t="shared" si="67"/>
        <v>0.99986209277798521</v>
      </c>
      <c r="R284">
        <f t="shared" si="68"/>
        <v>1</v>
      </c>
      <c r="S284">
        <v>2.0137769595676267E-12</v>
      </c>
      <c r="T284">
        <v>0.14480258311465163</v>
      </c>
      <c r="U284">
        <f t="shared" si="73"/>
        <v>0.14736577603421203</v>
      </c>
      <c r="V284">
        <v>6.8953611007631442E-5</v>
      </c>
      <c r="W284">
        <f t="shared" si="74"/>
        <v>7.0174179063581707E-5</v>
      </c>
    </row>
    <row r="285" spans="1:23">
      <c r="A285">
        <v>282</v>
      </c>
      <c r="B285">
        <f t="shared" si="60"/>
        <v>88.5</v>
      </c>
      <c r="C285">
        <f t="shared" si="61"/>
        <v>0.44555547008037888</v>
      </c>
      <c r="D285" s="21">
        <v>7.23427289678198E-16</v>
      </c>
      <c r="E285">
        <f t="shared" si="69"/>
        <v>0.13782631836226011</v>
      </c>
      <c r="F285">
        <f t="shared" si="62"/>
        <v>0.14829854179546309</v>
      </c>
      <c r="G285" s="22">
        <f t="shared" si="70"/>
        <v>7.234272896781979E-16</v>
      </c>
      <c r="H285" s="21">
        <v>1.3319023559438801E-4</v>
      </c>
      <c r="I285">
        <f t="shared" si="63"/>
        <v>3.4802705747926092E-2</v>
      </c>
      <c r="J285" s="22">
        <f t="shared" si="71"/>
        <v>1.3319023559438801E-4</v>
      </c>
      <c r="K285">
        <f t="shared" si="72"/>
        <v>3.4204056549692496E-2</v>
      </c>
      <c r="L285">
        <v>1.0424290461765739E-2</v>
      </c>
      <c r="M285">
        <f t="shared" si="64"/>
        <v>3.4204056549692496E-2</v>
      </c>
      <c r="N285">
        <f t="shared" si="65"/>
        <v>1.3319023559438801E-4</v>
      </c>
      <c r="O285">
        <v>7.234272896781979E-16</v>
      </c>
      <c r="P285">
        <f t="shared" si="66"/>
        <v>1.3319023559366458E-4</v>
      </c>
      <c r="Q285">
        <f t="shared" si="67"/>
        <v>0.99986680976440556</v>
      </c>
      <c r="R285">
        <f t="shared" si="68"/>
        <v>1</v>
      </c>
      <c r="S285">
        <v>1.7362254952276749E-12</v>
      </c>
      <c r="T285">
        <v>0.13984974737334779</v>
      </c>
      <c r="U285">
        <f t="shared" si="73"/>
        <v>0.14232616524587471</v>
      </c>
      <c r="V285">
        <v>6.6595117797396561E-5</v>
      </c>
      <c r="W285">
        <f t="shared" si="74"/>
        <v>6.7774364402514001E-5</v>
      </c>
    </row>
    <row r="286" spans="1:23">
      <c r="A286">
        <v>283</v>
      </c>
      <c r="B286">
        <f t="shared" si="60"/>
        <v>88.583333333333329</v>
      </c>
      <c r="C286">
        <f t="shared" si="61"/>
        <v>0.4442799872341171</v>
      </c>
      <c r="D286" s="21">
        <v>6.2365434925885403E-16</v>
      </c>
      <c r="E286">
        <f t="shared" si="69"/>
        <v>0.13791702613779744</v>
      </c>
      <c r="F286">
        <f t="shared" si="62"/>
        <v>0.14840375557014293</v>
      </c>
      <c r="G286" s="22">
        <f t="shared" si="70"/>
        <v>6.2365434925885393E-16</v>
      </c>
      <c r="H286" s="21">
        <v>1.2863300144038599E-4</v>
      </c>
      <c r="I286">
        <f t="shared" si="63"/>
        <v>3.481504934597119E-2</v>
      </c>
      <c r="J286" s="22">
        <f t="shared" si="71"/>
        <v>1.2863300144038599E-4</v>
      </c>
      <c r="K286">
        <f t="shared" si="72"/>
        <v>3.4215977873035874E-2</v>
      </c>
      <c r="L286">
        <v>1.0424290461765739E-2</v>
      </c>
      <c r="M286">
        <f t="shared" si="64"/>
        <v>3.4215977873035874E-2</v>
      </c>
      <c r="N286">
        <f t="shared" si="65"/>
        <v>1.2863300144038599E-4</v>
      </c>
      <c r="O286">
        <v>6.2365434925885393E-16</v>
      </c>
      <c r="P286">
        <f t="shared" si="66"/>
        <v>1.2863300143976233E-4</v>
      </c>
      <c r="Q286">
        <f t="shared" si="67"/>
        <v>0.99987136699855961</v>
      </c>
      <c r="R286">
        <f t="shared" si="68"/>
        <v>1</v>
      </c>
      <c r="S286">
        <v>1.4967704382212495E-12</v>
      </c>
      <c r="T286">
        <v>0.13506465151175046</v>
      </c>
      <c r="U286">
        <f t="shared" si="73"/>
        <v>0.13745719944416562</v>
      </c>
      <c r="V286">
        <v>6.431650072036762E-5</v>
      </c>
      <c r="W286">
        <f t="shared" si="74"/>
        <v>6.545580925888209E-5</v>
      </c>
    </row>
    <row r="287" spans="1:23">
      <c r="A287">
        <v>284</v>
      </c>
      <c r="B287">
        <f t="shared" si="60"/>
        <v>88.666666666666671</v>
      </c>
      <c r="C287">
        <f t="shared" si="61"/>
        <v>0.44300815568741347</v>
      </c>
      <c r="D287" s="21">
        <v>5.3758539167211904E-16</v>
      </c>
      <c r="E287">
        <f t="shared" si="69"/>
        <v>0.13800746790111973</v>
      </c>
      <c r="F287">
        <f t="shared" si="62"/>
        <v>0.14850867181434749</v>
      </c>
      <c r="G287" s="22">
        <f t="shared" si="70"/>
        <v>5.3758539167211894E-16</v>
      </c>
      <c r="H287" s="21">
        <v>1.24230168930254E-4</v>
      </c>
      <c r="I287">
        <f t="shared" si="63"/>
        <v>3.4827353681662405E-2</v>
      </c>
      <c r="J287" s="22">
        <f t="shared" si="71"/>
        <v>1.24230168930254E-4</v>
      </c>
      <c r="K287">
        <f t="shared" si="72"/>
        <v>3.4227861130741388E-2</v>
      </c>
      <c r="L287">
        <v>1.0424290461765739E-2</v>
      </c>
      <c r="M287">
        <f t="shared" si="64"/>
        <v>3.4227861130741388E-2</v>
      </c>
      <c r="N287">
        <f t="shared" si="65"/>
        <v>1.24230168930254E-4</v>
      </c>
      <c r="O287">
        <v>5.3758539167211894E-16</v>
      </c>
      <c r="P287">
        <f t="shared" si="66"/>
        <v>1.2423016892971643E-4</v>
      </c>
      <c r="Q287">
        <f t="shared" si="67"/>
        <v>0.99987576983106974</v>
      </c>
      <c r="R287">
        <f t="shared" si="68"/>
        <v>1</v>
      </c>
      <c r="S287">
        <v>1.2902049400130855E-12</v>
      </c>
      <c r="T287">
        <v>0.13044167737620224</v>
      </c>
      <c r="U287">
        <f t="shared" si="73"/>
        <v>0.13275316444536983</v>
      </c>
      <c r="V287">
        <v>6.2115084465277529E-5</v>
      </c>
      <c r="W287">
        <f t="shared" si="74"/>
        <v>6.3215792592822575E-5</v>
      </c>
    </row>
    <row r="288" spans="1:23">
      <c r="A288">
        <v>285</v>
      </c>
      <c r="B288">
        <f t="shared" si="60"/>
        <v>88.75</v>
      </c>
      <c r="C288">
        <f t="shared" si="61"/>
        <v>0.4417399649877653</v>
      </c>
      <c r="D288" s="21">
        <v>4.63346114902322E-16</v>
      </c>
      <c r="E288">
        <f t="shared" si="69"/>
        <v>0.13809764535989588</v>
      </c>
      <c r="F288">
        <f t="shared" si="62"/>
        <v>0.14861329241453847</v>
      </c>
      <c r="G288" s="22">
        <f t="shared" si="70"/>
        <v>4.633461149023219E-16</v>
      </c>
      <c r="H288" s="21">
        <v>1.19976564397956E-4</v>
      </c>
      <c r="I288">
        <f t="shared" si="63"/>
        <v>3.4839619017709718E-2</v>
      </c>
      <c r="J288" s="22">
        <f t="shared" si="71"/>
        <v>1.19976564397956E-4</v>
      </c>
      <c r="K288">
        <f t="shared" si="72"/>
        <v>3.4239706577925411E-2</v>
      </c>
      <c r="L288">
        <v>1.0424290461765739E-2</v>
      </c>
      <c r="M288">
        <f t="shared" si="64"/>
        <v>3.4239706577925411E-2</v>
      </c>
      <c r="N288">
        <f t="shared" si="65"/>
        <v>1.19976564397956E-4</v>
      </c>
      <c r="O288">
        <v>4.633461149023219E-16</v>
      </c>
      <c r="P288">
        <f t="shared" si="66"/>
        <v>1.1997656439749265E-4</v>
      </c>
      <c r="Q288">
        <f t="shared" si="67"/>
        <v>0.99988002343560201</v>
      </c>
      <c r="R288">
        <f t="shared" si="68"/>
        <v>1</v>
      </c>
      <c r="S288">
        <v>1.1120306757655725E-12</v>
      </c>
      <c r="T288">
        <v>0.12597539261736729</v>
      </c>
      <c r="U288">
        <f t="shared" si="73"/>
        <v>0.1282085349979859</v>
      </c>
      <c r="V288">
        <v>5.9988282199107739E-5</v>
      </c>
      <c r="W288">
        <f t="shared" si="74"/>
        <v>6.1051683332192638E-5</v>
      </c>
    </row>
    <row r="289" spans="1:23">
      <c r="A289">
        <v>286</v>
      </c>
      <c r="B289">
        <f t="shared" si="60"/>
        <v>88.833333333333329</v>
      </c>
      <c r="C289">
        <f t="shared" si="61"/>
        <v>0.44047540471259111</v>
      </c>
      <c r="D289" s="21">
        <v>3.9931744575357399E-16</v>
      </c>
      <c r="E289">
        <f t="shared" si="69"/>
        <v>0.13818756020485012</v>
      </c>
      <c r="F289">
        <f t="shared" si="62"/>
        <v>0.14871761923858856</v>
      </c>
      <c r="G289" s="22">
        <f t="shared" si="70"/>
        <v>3.9931744575357389E-16</v>
      </c>
      <c r="H289" s="21">
        <v>1.1586718536676499E-4</v>
      </c>
      <c r="I289">
        <f t="shared" si="63"/>
        <v>3.4851845614156558E-2</v>
      </c>
      <c r="J289" s="22">
        <f t="shared" si="71"/>
        <v>1.1586718536676499E-4</v>
      </c>
      <c r="K289">
        <f t="shared" si="72"/>
        <v>3.4251514467112165E-2</v>
      </c>
      <c r="L289">
        <v>1.0424290461765739E-2</v>
      </c>
      <c r="M289">
        <f t="shared" si="64"/>
        <v>3.4251514467112165E-2</v>
      </c>
      <c r="N289">
        <f t="shared" si="65"/>
        <v>1.1586718536676499E-4</v>
      </c>
      <c r="O289">
        <v>3.9931744575357389E-16</v>
      </c>
      <c r="P289">
        <f t="shared" si="66"/>
        <v>1.1586718536636568E-4</v>
      </c>
      <c r="Q289">
        <f t="shared" si="67"/>
        <v>0.99988413281463329</v>
      </c>
      <c r="R289">
        <f t="shared" si="68"/>
        <v>1</v>
      </c>
      <c r="S289">
        <v>9.5836186980857736E-13</v>
      </c>
      <c r="T289">
        <v>0.12166054463468397</v>
      </c>
      <c r="U289">
        <f t="shared" si="73"/>
        <v>0.12381796862706082</v>
      </c>
      <c r="V289">
        <v>5.7933592683494313E-5</v>
      </c>
      <c r="W289">
        <f t="shared" si="74"/>
        <v>5.8960937441301022E-5</v>
      </c>
    </row>
    <row r="290" spans="1:23">
      <c r="A290">
        <v>287</v>
      </c>
      <c r="B290">
        <f t="shared" si="60"/>
        <v>88.916666666666671</v>
      </c>
      <c r="C290">
        <f t="shared" si="61"/>
        <v>0.43921446446914664</v>
      </c>
      <c r="D290" s="21">
        <v>3.4410094180922901E-16</v>
      </c>
      <c r="E290">
        <f t="shared" si="69"/>
        <v>0.13827721411004934</v>
      </c>
      <c r="F290">
        <f t="shared" si="62"/>
        <v>0.14882165413609921</v>
      </c>
      <c r="G290" s="22">
        <f t="shared" si="70"/>
        <v>3.4410094180922896E-16</v>
      </c>
      <c r="H290" s="21">
        <v>1.11897194966803E-4</v>
      </c>
      <c r="I290">
        <f t="shared" si="63"/>
        <v>3.4864033728415129E-2</v>
      </c>
      <c r="J290" s="22">
        <f t="shared" si="71"/>
        <v>1.11897194966803E-4</v>
      </c>
      <c r="K290">
        <f t="shared" si="72"/>
        <v>3.4263285048268144E-2</v>
      </c>
      <c r="L290">
        <v>1.0424290461765739E-2</v>
      </c>
      <c r="M290">
        <f t="shared" si="64"/>
        <v>3.4263285048268144E-2</v>
      </c>
      <c r="N290">
        <f t="shared" si="65"/>
        <v>1.11897194966803E-4</v>
      </c>
      <c r="O290">
        <v>3.4410094180922896E-16</v>
      </c>
      <c r="P290">
        <f t="shared" si="66"/>
        <v>1.118971949664589E-4</v>
      </c>
      <c r="Q290">
        <f t="shared" si="67"/>
        <v>0.99988810280503315</v>
      </c>
      <c r="R290">
        <f t="shared" si="68"/>
        <v>1</v>
      </c>
      <c r="S290">
        <v>8.2584226034214946E-13</v>
      </c>
      <c r="T290">
        <v>0.11749205471478184</v>
      </c>
      <c r="U290">
        <f t="shared" si="73"/>
        <v>0.119576299675625</v>
      </c>
      <c r="V290">
        <v>5.5948597483497851E-5</v>
      </c>
      <c r="W290">
        <f t="shared" si="74"/>
        <v>5.6941095083496085E-5</v>
      </c>
    </row>
    <row r="291" spans="1:23">
      <c r="A291">
        <v>288</v>
      </c>
      <c r="B291">
        <f t="shared" si="60"/>
        <v>89</v>
      </c>
      <c r="C291">
        <f t="shared" si="61"/>
        <v>0.43795713389443863</v>
      </c>
      <c r="D291" s="21">
        <v>2.9648886142921699E-16</v>
      </c>
      <c r="E291">
        <f t="shared" si="69"/>
        <v>0.13836660873310935</v>
      </c>
      <c r="F291">
        <f t="shared" si="62"/>
        <v>0.1489253989386248</v>
      </c>
      <c r="G291" s="22">
        <f t="shared" si="70"/>
        <v>2.9648886142921694E-16</v>
      </c>
      <c r="H291" s="21">
        <v>1.08061916531515E-4</v>
      </c>
      <c r="I291">
        <f t="shared" si="63"/>
        <v>3.4876183615302869E-2</v>
      </c>
      <c r="J291" s="22">
        <f t="shared" si="71"/>
        <v>1.08061916531515E-4</v>
      </c>
      <c r="K291">
        <f t="shared" si="72"/>
        <v>3.4275018568837523E-2</v>
      </c>
      <c r="L291">
        <v>1.1819068483294393E-2</v>
      </c>
      <c r="M291">
        <f t="shared" si="64"/>
        <v>3.4275018568837523E-2</v>
      </c>
      <c r="N291">
        <f t="shared" si="65"/>
        <v>1.08061916531515E-4</v>
      </c>
      <c r="O291">
        <v>2.9648886142921694E-16</v>
      </c>
      <c r="P291">
        <f t="shared" si="66"/>
        <v>1.0806191653121851E-4</v>
      </c>
      <c r="Q291">
        <f t="shared" si="67"/>
        <v>0.99989193808346843</v>
      </c>
      <c r="R291">
        <f t="shared" si="68"/>
        <v>1</v>
      </c>
      <c r="S291">
        <v>7.1157326743012068E-13</v>
      </c>
      <c r="T291">
        <v>0.11346501235777944</v>
      </c>
      <c r="U291">
        <f t="shared" si="73"/>
        <v>0.11547853353704934</v>
      </c>
      <c r="V291">
        <v>5.4030958265840515E-5</v>
      </c>
      <c r="W291">
        <f t="shared" si="74"/>
        <v>5.4989777874669183E-5</v>
      </c>
    </row>
    <row r="292" spans="1:23">
      <c r="A292">
        <v>289</v>
      </c>
      <c r="B292">
        <f t="shared" si="60"/>
        <v>89.083333333333329</v>
      </c>
      <c r="C292">
        <f t="shared" si="61"/>
        <v>0.43670340265513968</v>
      </c>
      <c r="D292" s="21">
        <v>2.5543827502372502E-16</v>
      </c>
      <c r="E292">
        <f t="shared" si="69"/>
        <v>0.13845574571539943</v>
      </c>
      <c r="F292">
        <f t="shared" si="62"/>
        <v>0.14902885545989492</v>
      </c>
      <c r="G292" s="22">
        <f t="shared" si="70"/>
        <v>2.5543827502372497E-16</v>
      </c>
      <c r="H292" s="21">
        <v>1.04356828367465E-4</v>
      </c>
      <c r="I292">
        <f t="shared" si="63"/>
        <v>3.4888295527033063E-2</v>
      </c>
      <c r="J292" s="22">
        <f t="shared" si="71"/>
        <v>1.04356828367465E-4</v>
      </c>
      <c r="K292">
        <f t="shared" si="72"/>
        <v>3.4286715273733392E-2</v>
      </c>
      <c r="L292">
        <v>1.1819068483294393E-2</v>
      </c>
      <c r="M292">
        <f t="shared" si="64"/>
        <v>3.4286715273733392E-2</v>
      </c>
      <c r="N292">
        <f t="shared" si="65"/>
        <v>1.04356828367465E-4</v>
      </c>
      <c r="O292">
        <v>2.5543827502372497E-16</v>
      </c>
      <c r="P292">
        <f t="shared" si="66"/>
        <v>1.0435682836720956E-4</v>
      </c>
      <c r="Q292">
        <f t="shared" si="67"/>
        <v>0.99989564317163249</v>
      </c>
      <c r="R292">
        <f t="shared" si="68"/>
        <v>1</v>
      </c>
      <c r="S292">
        <v>6.130518600569399E-13</v>
      </c>
      <c r="T292">
        <v>0.10957466978557004</v>
      </c>
      <c r="U292">
        <f t="shared" si="73"/>
        <v>0.11151984107233705</v>
      </c>
      <c r="V292">
        <v>5.2178414183804022E-5</v>
      </c>
      <c r="W292">
        <f t="shared" si="74"/>
        <v>5.3104686224822272E-5</v>
      </c>
    </row>
    <row r="293" spans="1:23">
      <c r="A293">
        <v>290</v>
      </c>
      <c r="B293">
        <f t="shared" si="60"/>
        <v>89.166666666666671</v>
      </c>
      <c r="C293">
        <f t="shared" si="61"/>
        <v>0.43545326044750321</v>
      </c>
      <c r="D293" s="21">
        <v>2.20048674570198E-16</v>
      </c>
      <c r="E293">
        <f t="shared" si="69"/>
        <v>0.13854462668227796</v>
      </c>
      <c r="F293">
        <f t="shared" si="62"/>
        <v>0.1491320254960731</v>
      </c>
      <c r="G293" s="22">
        <f t="shared" si="70"/>
        <v>2.2004867457019795E-16</v>
      </c>
      <c r="H293" s="21">
        <v>1.00777558691994E-4</v>
      </c>
      <c r="I293">
        <f t="shared" si="63"/>
        <v>3.49003697133465E-2</v>
      </c>
      <c r="J293" s="22">
        <f t="shared" si="71"/>
        <v>1.00777558691994E-4</v>
      </c>
      <c r="K293">
        <f t="shared" si="72"/>
        <v>3.4298375405465098E-2</v>
      </c>
      <c r="L293">
        <v>1.1819068483294393E-2</v>
      </c>
      <c r="M293">
        <f t="shared" si="64"/>
        <v>3.4298375405465098E-2</v>
      </c>
      <c r="N293">
        <f t="shared" si="65"/>
        <v>1.00777558691994E-4</v>
      </c>
      <c r="O293">
        <v>2.2004867457019795E-16</v>
      </c>
      <c r="P293">
        <f t="shared" si="66"/>
        <v>1.0077755869177394E-4</v>
      </c>
      <c r="Q293">
        <f t="shared" si="67"/>
        <v>0.99989922244130802</v>
      </c>
      <c r="R293">
        <f t="shared" si="68"/>
        <v>1</v>
      </c>
      <c r="S293">
        <v>5.281168189684751E-13</v>
      </c>
      <c r="T293">
        <v>0.10581643662636264</v>
      </c>
      <c r="U293">
        <f t="shared" si="73"/>
        <v>0.10769555320653693</v>
      </c>
      <c r="V293">
        <v>5.0388779346058608E-5</v>
      </c>
      <c r="W293">
        <f t="shared" si="74"/>
        <v>5.1283596764931311E-5</v>
      </c>
    </row>
    <row r="294" spans="1:23">
      <c r="A294">
        <v>291</v>
      </c>
      <c r="B294">
        <f t="shared" si="60"/>
        <v>89.25</v>
      </c>
      <c r="C294">
        <f t="shared" si="61"/>
        <v>0.43420669699727915</v>
      </c>
      <c r="D294" s="21">
        <v>1.8954261094266099E-16</v>
      </c>
      <c r="E294">
        <f t="shared" si="69"/>
        <v>0.1386332532432738</v>
      </c>
      <c r="F294">
        <f t="shared" si="62"/>
        <v>0.14923491082595289</v>
      </c>
      <c r="G294" s="22">
        <f t="shared" si="70"/>
        <v>1.8954261094266094E-16</v>
      </c>
      <c r="H294" s="21">
        <v>9.7319880733485201E-5</v>
      </c>
      <c r="I294">
        <f t="shared" si="63"/>
        <v>3.4912406421423715E-2</v>
      </c>
      <c r="J294" s="22">
        <f t="shared" si="71"/>
        <v>9.7319880733485201E-5</v>
      </c>
      <c r="K294">
        <f t="shared" si="72"/>
        <v>3.4309999204053754E-2</v>
      </c>
      <c r="L294">
        <v>1.1819068483294393E-2</v>
      </c>
      <c r="M294">
        <f t="shared" si="64"/>
        <v>3.4309999204053754E-2</v>
      </c>
      <c r="N294">
        <f t="shared" si="65"/>
        <v>9.7319880733485201E-5</v>
      </c>
      <c r="O294">
        <v>1.8954261094266094E-16</v>
      </c>
      <c r="P294">
        <f t="shared" si="66"/>
        <v>9.7319880733295655E-5</v>
      </c>
      <c r="Q294">
        <f t="shared" si="67"/>
        <v>0.99990268011926653</v>
      </c>
      <c r="R294">
        <f t="shared" si="68"/>
        <v>1</v>
      </c>
      <c r="S294">
        <v>4.5490226626238629E-13</v>
      </c>
      <c r="T294">
        <v>0.10218587476996044</v>
      </c>
      <c r="U294">
        <f t="shared" si="73"/>
        <v>0.10400115569865305</v>
      </c>
      <c r="V294">
        <v>4.8659940366795672E-5</v>
      </c>
      <c r="W294">
        <f t="shared" si="74"/>
        <v>4.9524359856427136E-5</v>
      </c>
    </row>
    <row r="295" spans="1:23">
      <c r="A295">
        <v>292</v>
      </c>
      <c r="B295">
        <f t="shared" si="60"/>
        <v>89.333333333333329</v>
      </c>
      <c r="C295">
        <f t="shared" si="61"/>
        <v>0.43296370205962958</v>
      </c>
      <c r="D295" s="21">
        <v>1.6324895156831899E-16</v>
      </c>
      <c r="E295">
        <f t="shared" si="69"/>
        <v>0.13872162699233981</v>
      </c>
      <c r="F295">
        <f t="shared" si="62"/>
        <v>0.1493375132112377</v>
      </c>
      <c r="G295" s="22">
        <f t="shared" si="70"/>
        <v>1.6324895156831894E-16</v>
      </c>
      <c r="H295" s="21">
        <v>9.3979707989094897E-5</v>
      </c>
      <c r="I295">
        <f t="shared" si="63"/>
        <v>3.4924405896033489E-2</v>
      </c>
      <c r="J295" s="22">
        <f t="shared" si="71"/>
        <v>9.3979707989094897E-5</v>
      </c>
      <c r="K295">
        <f t="shared" si="72"/>
        <v>3.4321586907175905E-2</v>
      </c>
      <c r="L295">
        <v>1.1819068483294393E-2</v>
      </c>
      <c r="M295">
        <f t="shared" si="64"/>
        <v>3.4321586907175905E-2</v>
      </c>
      <c r="N295">
        <f t="shared" si="65"/>
        <v>9.3979707989094897E-5</v>
      </c>
      <c r="O295">
        <v>1.6324895156831894E-16</v>
      </c>
      <c r="P295">
        <f t="shared" si="66"/>
        <v>9.3979707988931644E-5</v>
      </c>
      <c r="Q295">
        <f t="shared" si="67"/>
        <v>0.99990602029201092</v>
      </c>
      <c r="R295">
        <f t="shared" si="68"/>
        <v>1</v>
      </c>
      <c r="S295">
        <v>3.9179748376396548E-13</v>
      </c>
      <c r="T295">
        <v>9.867869338837823E-2</v>
      </c>
      <c r="U295">
        <f t="shared" si="73"/>
        <v>0.10043228407959268</v>
      </c>
      <c r="V295">
        <v>4.6989853994593155E-5</v>
      </c>
      <c r="W295">
        <f t="shared" si="74"/>
        <v>4.782489718069441E-5</v>
      </c>
    </row>
    <row r="296" spans="1:23">
      <c r="A296">
        <v>293</v>
      </c>
      <c r="B296">
        <f t="shared" si="60"/>
        <v>89.416666666666671</v>
      </c>
      <c r="C296">
        <f t="shared" si="61"/>
        <v>0.43172426541904374</v>
      </c>
      <c r="D296" s="21">
        <v>1.40588405493678E-16</v>
      </c>
      <c r="E296">
        <f t="shared" si="69"/>
        <v>0.13880974950799385</v>
      </c>
      <c r="F296">
        <f t="shared" si="62"/>
        <v>0.14943983439669056</v>
      </c>
      <c r="G296" s="22">
        <f t="shared" si="70"/>
        <v>1.4058840549367798E-16</v>
      </c>
      <c r="H296" s="21">
        <v>9.0753089635010396E-5</v>
      </c>
      <c r="I296">
        <f t="shared" si="63"/>
        <v>3.493636837947816E-2</v>
      </c>
      <c r="J296" s="22">
        <f t="shared" si="71"/>
        <v>9.0753089635010396E-5</v>
      </c>
      <c r="K296">
        <f t="shared" si="72"/>
        <v>3.4333138750110903E-2</v>
      </c>
      <c r="L296">
        <v>1.1819068483294393E-2</v>
      </c>
      <c r="M296">
        <f t="shared" si="64"/>
        <v>3.4333138750110903E-2</v>
      </c>
      <c r="N296">
        <f t="shared" si="65"/>
        <v>9.0753089635010396E-5</v>
      </c>
      <c r="O296">
        <v>1.4058840549367798E-16</v>
      </c>
      <c r="P296">
        <f t="shared" si="66"/>
        <v>9.0753089634869802E-5</v>
      </c>
      <c r="Q296">
        <f t="shared" si="67"/>
        <v>0.99990924691036498</v>
      </c>
      <c r="R296">
        <f t="shared" si="68"/>
        <v>1</v>
      </c>
      <c r="S296">
        <v>3.3741217318482714E-13</v>
      </c>
      <c r="T296">
        <v>9.5290744116613285E-2</v>
      </c>
      <c r="U296">
        <f t="shared" si="73"/>
        <v>9.6984718752860355E-2</v>
      </c>
      <c r="V296">
        <v>4.5376544817544561E-5</v>
      </c>
      <c r="W296">
        <f t="shared" si="74"/>
        <v>4.6183199406068861E-5</v>
      </c>
    </row>
    <row r="297" spans="1:23">
      <c r="A297">
        <v>294</v>
      </c>
      <c r="B297">
        <f t="shared" si="60"/>
        <v>89.5</v>
      </c>
      <c r="C297">
        <f t="shared" si="61"/>
        <v>0.4304883768892549</v>
      </c>
      <c r="D297" s="21">
        <v>1.2106101024012199E-16</v>
      </c>
      <c r="E297">
        <f t="shared" si="69"/>
        <v>0.13889762235360248</v>
      </c>
      <c r="F297">
        <f t="shared" si="62"/>
        <v>0.14954187611044956</v>
      </c>
      <c r="G297" s="22">
        <f t="shared" si="70"/>
        <v>1.2106101024012197E-16</v>
      </c>
      <c r="H297" s="21">
        <v>8.7636206084413395E-5</v>
      </c>
      <c r="I297">
        <f t="shared" si="63"/>
        <v>3.4948294111680163E-2</v>
      </c>
      <c r="J297" s="22">
        <f t="shared" si="71"/>
        <v>8.7636206084413395E-5</v>
      </c>
      <c r="K297">
        <f t="shared" si="72"/>
        <v>3.4344654965824728E-2</v>
      </c>
      <c r="L297">
        <v>1.1819068483294393E-2</v>
      </c>
      <c r="M297">
        <f t="shared" si="64"/>
        <v>3.4344654965824728E-2</v>
      </c>
      <c r="N297">
        <f t="shared" si="65"/>
        <v>8.7636206084413395E-5</v>
      </c>
      <c r="O297">
        <v>1.2106101024012197E-16</v>
      </c>
      <c r="P297">
        <f t="shared" si="66"/>
        <v>8.7636206084292331E-5</v>
      </c>
      <c r="Q297">
        <f t="shared" si="67"/>
        <v>0.99991236379391557</v>
      </c>
      <c r="R297">
        <f t="shared" si="68"/>
        <v>1</v>
      </c>
      <c r="S297">
        <v>2.905464245762927E-13</v>
      </c>
      <c r="T297">
        <v>9.2018016388506943E-2</v>
      </c>
      <c r="U297">
        <f t="shared" si="73"/>
        <v>9.3654380252874092E-2</v>
      </c>
      <c r="V297">
        <v>4.3818103042240593E-5</v>
      </c>
      <c r="W297">
        <f t="shared" si="74"/>
        <v>4.4597323929892573E-5</v>
      </c>
    </row>
    <row r="298" spans="1:23">
      <c r="A298">
        <v>295</v>
      </c>
      <c r="B298">
        <f t="shared" si="60"/>
        <v>89.583333333333329</v>
      </c>
      <c r="C298">
        <f t="shared" si="61"/>
        <v>0.42925602631315657</v>
      </c>
      <c r="D298" s="21">
        <v>1.04235315820449E-16</v>
      </c>
      <c r="E298">
        <f t="shared" si="69"/>
        <v>0.1389852470774825</v>
      </c>
      <c r="F298">
        <f t="shared" si="62"/>
        <v>0.14964364006413219</v>
      </c>
      <c r="G298" s="22">
        <f t="shared" si="70"/>
        <v>1.0423531582044898E-16</v>
      </c>
      <c r="H298" s="21">
        <v>8.4625364688496995E-5</v>
      </c>
      <c r="I298">
        <f t="shared" si="63"/>
        <v>3.496018333018984E-2</v>
      </c>
      <c r="J298" s="22">
        <f t="shared" si="71"/>
        <v>8.4625364688496995E-5</v>
      </c>
      <c r="K298">
        <f t="shared" si="72"/>
        <v>3.4356135784977759E-2</v>
      </c>
      <c r="L298">
        <v>1.1819068483294393E-2</v>
      </c>
      <c r="M298">
        <f t="shared" si="64"/>
        <v>3.4356135784977759E-2</v>
      </c>
      <c r="N298">
        <f t="shared" si="65"/>
        <v>8.4625364688496995E-5</v>
      </c>
      <c r="O298">
        <v>1.0423531582044898E-16</v>
      </c>
      <c r="P298">
        <f t="shared" si="66"/>
        <v>8.4625364688392763E-5</v>
      </c>
      <c r="Q298">
        <f t="shared" si="67"/>
        <v>0.99991537463531155</v>
      </c>
      <c r="R298">
        <f t="shared" si="68"/>
        <v>1</v>
      </c>
      <c r="S298">
        <v>2.5016475796907754E-13</v>
      </c>
      <c r="T298">
        <v>8.8856632922812401E-2</v>
      </c>
      <c r="U298">
        <f t="shared" si="73"/>
        <v>9.0437324655930018E-2</v>
      </c>
      <c r="V298">
        <v>4.2312682344277683E-5</v>
      </c>
      <c r="W298">
        <f t="shared" si="74"/>
        <v>4.3065392693259138E-5</v>
      </c>
    </row>
    <row r="299" spans="1:23">
      <c r="A299">
        <v>296</v>
      </c>
      <c r="B299">
        <f t="shared" si="60"/>
        <v>89.666666666666671</v>
      </c>
      <c r="C299">
        <f t="shared" si="61"/>
        <v>0.42802720356271845</v>
      </c>
      <c r="D299" s="21">
        <v>8.9739036809373299E-17</v>
      </c>
      <c r="E299">
        <f t="shared" si="69"/>
        <v>0.13907262521318908</v>
      </c>
      <c r="F299">
        <f t="shared" si="62"/>
        <v>0.14974512795315645</v>
      </c>
      <c r="G299" s="22">
        <f t="shared" si="70"/>
        <v>8.9739036809373274E-17</v>
      </c>
      <c r="H299" s="21">
        <v>8.17169955760178E-5</v>
      </c>
      <c r="I299">
        <f t="shared" si="63"/>
        <v>3.4972036270215126E-2</v>
      </c>
      <c r="J299" s="22">
        <f t="shared" si="71"/>
        <v>8.17169955760178E-5</v>
      </c>
      <c r="K299">
        <f t="shared" si="72"/>
        <v>3.4367581435953642E-2</v>
      </c>
      <c r="L299">
        <v>1.1819068483294393E-2</v>
      </c>
      <c r="M299">
        <f t="shared" si="64"/>
        <v>3.4367581435953642E-2</v>
      </c>
      <c r="N299">
        <f t="shared" si="65"/>
        <v>8.17169955760178E-5</v>
      </c>
      <c r="O299">
        <v>8.9739036809373274E-17</v>
      </c>
      <c r="P299">
        <f t="shared" si="66"/>
        <v>8.1716995575928055E-5</v>
      </c>
      <c r="Q299">
        <f t="shared" si="67"/>
        <v>0.99991828300442398</v>
      </c>
      <c r="R299">
        <f t="shared" si="68"/>
        <v>1</v>
      </c>
      <c r="S299">
        <v>2.1537368834249585E-13</v>
      </c>
      <c r="T299">
        <v>8.5802845354724461E-2</v>
      </c>
      <c r="U299">
        <f t="shared" si="73"/>
        <v>8.7329739139001189E-2</v>
      </c>
      <c r="V299">
        <v>4.0858497788034026E-5</v>
      </c>
      <c r="W299">
        <f t="shared" si="74"/>
        <v>4.1585590066155851E-5</v>
      </c>
    </row>
    <row r="300" spans="1:23">
      <c r="A300">
        <v>297</v>
      </c>
      <c r="B300">
        <f t="shared" si="60"/>
        <v>89.75</v>
      </c>
      <c r="C300">
        <f t="shared" si="61"/>
        <v>0.4268018985389036</v>
      </c>
      <c r="D300" s="21">
        <v>7.7250974138735501E-17</v>
      </c>
      <c r="E300">
        <f t="shared" si="69"/>
        <v>0.13915975827961424</v>
      </c>
      <c r="F300">
        <f t="shared" si="62"/>
        <v>0.14984634145684206</v>
      </c>
      <c r="G300" s="22">
        <f t="shared" si="70"/>
        <v>7.7250974138735488E-17</v>
      </c>
      <c r="H300" s="21">
        <v>7.8907647627004103E-5</v>
      </c>
      <c r="I300">
        <f t="shared" si="63"/>
        <v>3.4983853164675567E-2</v>
      </c>
      <c r="J300" s="22">
        <f t="shared" si="71"/>
        <v>7.8907647627004103E-5</v>
      </c>
      <c r="K300">
        <f t="shared" si="72"/>
        <v>3.4378992144911691E-2</v>
      </c>
      <c r="L300">
        <v>1.1819068483294393E-2</v>
      </c>
      <c r="M300">
        <f t="shared" si="64"/>
        <v>3.4378992144911691E-2</v>
      </c>
      <c r="N300">
        <f t="shared" si="65"/>
        <v>7.8907647627004103E-5</v>
      </c>
      <c r="O300">
        <v>7.7250974138735488E-17</v>
      </c>
      <c r="P300">
        <f t="shared" si="66"/>
        <v>7.8907647626926854E-5</v>
      </c>
      <c r="Q300">
        <f t="shared" si="67"/>
        <v>0.99992109235237303</v>
      </c>
      <c r="R300">
        <f t="shared" si="68"/>
        <v>1</v>
      </c>
      <c r="S300">
        <v>1.8540233793296517E-13</v>
      </c>
      <c r="T300">
        <v>8.2853030008273196E-2</v>
      </c>
      <c r="U300">
        <f t="shared" si="73"/>
        <v>8.4327937681699217E-2</v>
      </c>
      <c r="V300">
        <v>3.9453823813523681E-5</v>
      </c>
      <c r="W300">
        <f t="shared" si="74"/>
        <v>4.0156160800778854E-5</v>
      </c>
    </row>
    <row r="301" spans="1:23">
      <c r="A301">
        <v>298</v>
      </c>
      <c r="B301">
        <f t="shared" si="60"/>
        <v>89.833333333333329</v>
      </c>
      <c r="C301">
        <f t="shared" si="61"/>
        <v>0.42558010117158568</v>
      </c>
      <c r="D301" s="21">
        <v>6.6494034952079298E-17</v>
      </c>
      <c r="E301">
        <f t="shared" si="69"/>
        <v>0.13924664778126616</v>
      </c>
      <c r="F301">
        <f t="shared" si="62"/>
        <v>0.14994728223872181</v>
      </c>
      <c r="G301" s="22">
        <f t="shared" si="70"/>
        <v>6.6494034952079286E-17</v>
      </c>
      <c r="H301" s="21">
        <v>7.6193984576382995E-5</v>
      </c>
      <c r="I301">
        <f t="shared" si="63"/>
        <v>3.4995634244195342E-2</v>
      </c>
      <c r="J301" s="22">
        <f t="shared" si="71"/>
        <v>7.6193984576382995E-5</v>
      </c>
      <c r="K301">
        <f t="shared" si="72"/>
        <v>3.4390368135780336E-2</v>
      </c>
      <c r="L301">
        <v>1.1819068483294393E-2</v>
      </c>
      <c r="M301">
        <f t="shared" si="64"/>
        <v>3.4390368135780336E-2</v>
      </c>
      <c r="N301">
        <f t="shared" si="65"/>
        <v>7.6193984576382995E-5</v>
      </c>
      <c r="O301">
        <v>6.6494034952079286E-17</v>
      </c>
      <c r="P301">
        <f t="shared" si="66"/>
        <v>7.6193984576316507E-5</v>
      </c>
      <c r="Q301">
        <f t="shared" si="67"/>
        <v>0.99992380601542363</v>
      </c>
      <c r="R301">
        <f t="shared" si="68"/>
        <v>1</v>
      </c>
      <c r="S301">
        <v>1.5958568388499029E-13</v>
      </c>
      <c r="T301">
        <v>8.0003683805132328E-2</v>
      </c>
      <c r="U301">
        <f t="shared" si="73"/>
        <v>8.1428356906875249E-2</v>
      </c>
      <c r="V301">
        <v>3.8096992288210119E-5</v>
      </c>
      <c r="W301">
        <f t="shared" si="74"/>
        <v>3.87754080508669E-5</v>
      </c>
    </row>
    <row r="302" spans="1:23">
      <c r="A302">
        <v>299</v>
      </c>
      <c r="B302">
        <f t="shared" si="60"/>
        <v>89.916666666666671</v>
      </c>
      <c r="C302">
        <f t="shared" si="61"/>
        <v>0.4243618014194655</v>
      </c>
      <c r="D302" s="21">
        <v>5.7229201950505098E-17</v>
      </c>
      <c r="E302">
        <f t="shared" si="69"/>
        <v>0.13933329520837701</v>
      </c>
      <c r="F302">
        <f t="shared" si="62"/>
        <v>0.1500479519466541</v>
      </c>
      <c r="G302" s="22">
        <f t="shared" si="70"/>
        <v>5.7229201950505085E-17</v>
      </c>
      <c r="H302" s="21">
        <v>7.3572781243408906E-5</v>
      </c>
      <c r="I302">
        <f t="shared" si="63"/>
        <v>3.5007379737171884E-2</v>
      </c>
      <c r="J302" s="22">
        <f t="shared" si="71"/>
        <v>7.3572781243408906E-5</v>
      </c>
      <c r="K302">
        <f t="shared" si="72"/>
        <v>3.4401709630323629E-2</v>
      </c>
      <c r="L302">
        <v>1.1819068483294393E-2</v>
      </c>
      <c r="M302">
        <f t="shared" si="64"/>
        <v>3.4401709630323629E-2</v>
      </c>
      <c r="N302">
        <f t="shared" si="65"/>
        <v>7.3572781243408906E-5</v>
      </c>
      <c r="O302">
        <v>5.7229201950505085E-17</v>
      </c>
      <c r="P302">
        <f t="shared" si="66"/>
        <v>7.3572781243351674E-5</v>
      </c>
      <c r="Q302">
        <f t="shared" si="67"/>
        <v>0.99992642721875657</v>
      </c>
      <c r="R302">
        <f t="shared" si="68"/>
        <v>1</v>
      </c>
      <c r="S302">
        <v>1.3735008468121221E-13</v>
      </c>
      <c r="T302">
        <v>7.7251420305519264E-2</v>
      </c>
      <c r="U302">
        <f t="shared" si="73"/>
        <v>7.8627552055474254E-2</v>
      </c>
      <c r="V302">
        <v>3.6786390621720479E-5</v>
      </c>
      <c r="W302">
        <f t="shared" si="74"/>
        <v>3.7441691454965302E-5</v>
      </c>
    </row>
    <row r="303" spans="1:23">
      <c r="A303">
        <v>300</v>
      </c>
      <c r="B303">
        <f t="shared" si="60"/>
        <v>90</v>
      </c>
      <c r="C303">
        <f t="shared" si="61"/>
        <v>0.42314698926998906</v>
      </c>
      <c r="D303" s="21">
        <v>4.9250323666742402E-17</v>
      </c>
      <c r="E303">
        <f t="shared" si="69"/>
        <v>0.13941970203713938</v>
      </c>
      <c r="F303">
        <f t="shared" si="62"/>
        <v>0.15014835221308501</v>
      </c>
      <c r="G303" s="22">
        <f t="shared" si="70"/>
        <v>4.925032366674239E-17</v>
      </c>
      <c r="H303" s="21">
        <v>7.1040919882914806E-5</v>
      </c>
      <c r="I303">
        <f t="shared" si="63"/>
        <v>3.5019089869776511E-2</v>
      </c>
      <c r="J303" s="22">
        <f t="shared" si="71"/>
        <v>7.1040919882914806E-5</v>
      </c>
      <c r="K303">
        <f t="shared" si="72"/>
        <v>3.441301684814202E-2</v>
      </c>
      <c r="L303">
        <v>1.3478790939090768E-2</v>
      </c>
      <c r="M303">
        <f t="shared" si="64"/>
        <v>3.441301684814202E-2</v>
      </c>
      <c r="N303">
        <f t="shared" si="65"/>
        <v>7.1040919882914806E-5</v>
      </c>
      <c r="O303">
        <v>4.925032366674239E-17</v>
      </c>
      <c r="P303">
        <f t="shared" si="66"/>
        <v>7.1040919882865556E-5</v>
      </c>
      <c r="Q303">
        <f t="shared" si="67"/>
        <v>0.99992895908011703</v>
      </c>
      <c r="R303">
        <f t="shared" si="68"/>
        <v>1</v>
      </c>
      <c r="S303">
        <v>1.1820077680018173E-13</v>
      </c>
      <c r="T303">
        <v>7.4592965877008838E-2</v>
      </c>
      <c r="U303">
        <f t="shared" si="73"/>
        <v>7.5922193091391824E-2</v>
      </c>
      <c r="V303">
        <v>3.5520459941471193E-5</v>
      </c>
      <c r="W303">
        <f t="shared" si="74"/>
        <v>3.6153425281595832E-5</v>
      </c>
    </row>
    <row r="304" spans="1:23">
      <c r="A304">
        <v>301</v>
      </c>
      <c r="B304">
        <f t="shared" si="60"/>
        <v>90.083333333333329</v>
      </c>
      <c r="C304">
        <f t="shared" si="61"/>
        <v>0.42193565473926553</v>
      </c>
      <c r="D304" s="21">
        <v>4.2379614429135998E-17</v>
      </c>
      <c r="E304">
        <f t="shared" si="69"/>
        <v>0.13950586972986811</v>
      </c>
      <c r="F304">
        <f t="shared" si="62"/>
        <v>0.15024848465522372</v>
      </c>
      <c r="G304" s="22">
        <f t="shared" si="70"/>
        <v>4.2379614429135986E-17</v>
      </c>
      <c r="H304" s="21">
        <v>6.8595386654521595E-5</v>
      </c>
      <c r="I304">
        <f t="shared" si="63"/>
        <v>3.503076486599753E-2</v>
      </c>
      <c r="J304" s="22">
        <f t="shared" si="71"/>
        <v>6.8595386654521595E-5</v>
      </c>
      <c r="K304">
        <f t="shared" si="72"/>
        <v>3.4424290006714209E-2</v>
      </c>
      <c r="L304">
        <v>1.3478790939090768E-2</v>
      </c>
      <c r="M304">
        <f t="shared" si="64"/>
        <v>3.4424290006714209E-2</v>
      </c>
      <c r="N304">
        <f t="shared" si="65"/>
        <v>6.8595386654521595E-5</v>
      </c>
      <c r="O304">
        <v>4.2379614429135986E-17</v>
      </c>
      <c r="P304">
        <f t="shared" si="66"/>
        <v>6.8595386654479216E-5</v>
      </c>
      <c r="Q304">
        <f t="shared" si="67"/>
        <v>0.99993140461334551</v>
      </c>
      <c r="R304">
        <f t="shared" si="68"/>
        <v>1</v>
      </c>
      <c r="S304">
        <v>1.0171107462992637E-13</v>
      </c>
      <c r="T304">
        <v>7.2025155987203174E-2</v>
      </c>
      <c r="U304">
        <f t="shared" si="73"/>
        <v>7.3309060932215953E-2</v>
      </c>
      <c r="V304">
        <v>3.4297693327272663E-5</v>
      </c>
      <c r="W304">
        <f t="shared" si="74"/>
        <v>3.4909076634371931E-5</v>
      </c>
    </row>
    <row r="305" spans="1:23">
      <c r="A305">
        <v>302</v>
      </c>
      <c r="B305">
        <f t="shared" si="60"/>
        <v>90.166666666666671</v>
      </c>
      <c r="C305">
        <f t="shared" si="61"/>
        <v>0.42072778787198373</v>
      </c>
      <c r="D305" s="21">
        <v>3.64637677788909E-17</v>
      </c>
      <c r="E305">
        <f t="shared" si="69"/>
        <v>0.13959179973515645</v>
      </c>
      <c r="F305">
        <f t="shared" si="62"/>
        <v>0.15034835087521198</v>
      </c>
      <c r="G305" s="22">
        <f t="shared" si="70"/>
        <v>3.6463767778890887E-17</v>
      </c>
      <c r="H305" s="21">
        <v>6.6233268206065702E-5</v>
      </c>
      <c r="I305">
        <f t="shared" si="63"/>
        <v>3.504240494766326E-2</v>
      </c>
      <c r="J305" s="22">
        <f t="shared" si="71"/>
        <v>6.6233268206065702E-5</v>
      </c>
      <c r="K305">
        <f t="shared" si="72"/>
        <v>3.4435529321419578E-2</v>
      </c>
      <c r="L305">
        <v>1.3478790939090768E-2</v>
      </c>
      <c r="M305">
        <f t="shared" si="64"/>
        <v>3.4435529321419578E-2</v>
      </c>
      <c r="N305">
        <f t="shared" si="65"/>
        <v>6.6233268206065702E-5</v>
      </c>
      <c r="O305">
        <v>3.6463767778890887E-17</v>
      </c>
      <c r="P305">
        <f t="shared" si="66"/>
        <v>6.6233268206029232E-5</v>
      </c>
      <c r="Q305">
        <f t="shared" si="67"/>
        <v>0.9999337667317939</v>
      </c>
      <c r="R305">
        <f t="shared" si="68"/>
        <v>1</v>
      </c>
      <c r="S305">
        <v>8.7513042669338134E-14</v>
      </c>
      <c r="T305">
        <v>6.9544931616330699E-2</v>
      </c>
      <c r="U305">
        <f t="shared" si="73"/>
        <v>7.0785043801861541E-2</v>
      </c>
      <c r="V305">
        <v>3.3116634103043056E-5</v>
      </c>
      <c r="W305">
        <f t="shared" si="74"/>
        <v>3.3707163715157859E-5</v>
      </c>
    </row>
    <row r="306" spans="1:23">
      <c r="A306">
        <v>303</v>
      </c>
      <c r="B306">
        <f t="shared" si="60"/>
        <v>90.25</v>
      </c>
      <c r="C306">
        <f t="shared" si="61"/>
        <v>0.41952337874133255</v>
      </c>
      <c r="D306" s="21">
        <v>3.1370600092404999E-17</v>
      </c>
      <c r="E306">
        <f t="shared" si="69"/>
        <v>0.1396774934880527</v>
      </c>
      <c r="F306">
        <f t="shared" si="62"/>
        <v>0.15044795246031717</v>
      </c>
      <c r="G306" s="22">
        <f t="shared" si="70"/>
        <v>3.1370600092404993E-17</v>
      </c>
      <c r="H306" s="21">
        <v>6.39517483676187E-5</v>
      </c>
      <c r="I306">
        <f t="shared" si="63"/>
        <v>3.505401033447185E-2</v>
      </c>
      <c r="J306" s="22">
        <f t="shared" si="71"/>
        <v>6.39517483676187E-5</v>
      </c>
      <c r="K306">
        <f t="shared" si="72"/>
        <v>3.4446735005567164E-2</v>
      </c>
      <c r="L306">
        <v>1.3478790939090768E-2</v>
      </c>
      <c r="M306">
        <f t="shared" si="64"/>
        <v>3.4446735005567164E-2</v>
      </c>
      <c r="N306">
        <f t="shared" si="65"/>
        <v>6.39517483676187E-5</v>
      </c>
      <c r="O306">
        <v>3.1370600092404993E-17</v>
      </c>
      <c r="P306">
        <f t="shared" si="66"/>
        <v>6.3951748367587326E-5</v>
      </c>
      <c r="Q306">
        <f t="shared" si="67"/>
        <v>0.9999360482516324</v>
      </c>
      <c r="R306">
        <f t="shared" si="68"/>
        <v>1</v>
      </c>
      <c r="S306">
        <v>7.5289440221771987E-14</v>
      </c>
      <c r="T306">
        <v>6.7149335785966699E-2</v>
      </c>
      <c r="U306">
        <f t="shared" si="73"/>
        <v>6.8347133701230106E-2</v>
      </c>
      <c r="V306">
        <v>3.1975874183818132E-5</v>
      </c>
      <c r="W306">
        <f t="shared" si="74"/>
        <v>3.2546254143430594E-5</v>
      </c>
    </row>
    <row r="307" spans="1:23">
      <c r="A307">
        <v>304</v>
      </c>
      <c r="B307">
        <f t="shared" si="60"/>
        <v>90.333333333333329</v>
      </c>
      <c r="C307">
        <f t="shared" si="61"/>
        <v>0.41832241744891752</v>
      </c>
      <c r="D307" s="21">
        <v>2.69861524046076E-17</v>
      </c>
      <c r="E307">
        <f t="shared" si="69"/>
        <v>0.13976295241030146</v>
      </c>
      <c r="F307">
        <f t="shared" si="62"/>
        <v>0.15054729098320099</v>
      </c>
      <c r="G307" s="22">
        <f t="shared" si="70"/>
        <v>2.6986152404607594E-17</v>
      </c>
      <c r="H307" s="21">
        <v>6.1748104952585596E-5</v>
      </c>
      <c r="I307">
        <f t="shared" si="63"/>
        <v>3.5065581244023855E-2</v>
      </c>
      <c r="J307" s="22">
        <f t="shared" si="71"/>
        <v>6.1748104952585596E-5</v>
      </c>
      <c r="K307">
        <f t="shared" si="72"/>
        <v>3.4457907270427302E-2</v>
      </c>
      <c r="L307">
        <v>1.3478790939090768E-2</v>
      </c>
      <c r="M307">
        <f t="shared" si="64"/>
        <v>3.4457907270427302E-2</v>
      </c>
      <c r="N307">
        <f t="shared" si="65"/>
        <v>6.1748104952585596E-5</v>
      </c>
      <c r="O307">
        <v>2.6986152404607594E-17</v>
      </c>
      <c r="P307">
        <f t="shared" si="66"/>
        <v>6.1748104952558613E-5</v>
      </c>
      <c r="Q307">
        <f t="shared" si="67"/>
        <v>0.99993825189504737</v>
      </c>
      <c r="R307">
        <f t="shared" si="68"/>
        <v>1</v>
      </c>
      <c r="S307">
        <v>6.4766765771058227E-14</v>
      </c>
      <c r="T307">
        <v>6.4835510200186547E-2</v>
      </c>
      <c r="U307">
        <f t="shared" si="73"/>
        <v>6.5992422993146643E-2</v>
      </c>
      <c r="V307">
        <v>3.0874052476300353E-5</v>
      </c>
      <c r="W307">
        <f t="shared" si="74"/>
        <v>3.1424963330059239E-5</v>
      </c>
    </row>
    <row r="308" spans="1:23">
      <c r="A308">
        <v>305</v>
      </c>
      <c r="B308">
        <f t="shared" si="60"/>
        <v>90.416666666666671</v>
      </c>
      <c r="C308">
        <f t="shared" si="61"/>
        <v>0.4171248941246799</v>
      </c>
      <c r="D308" s="21">
        <v>2.32121881620118E-17</v>
      </c>
      <c r="E308">
        <f t="shared" si="69"/>
        <v>0.13984817791036541</v>
      </c>
      <c r="F308">
        <f t="shared" si="62"/>
        <v>0.15064636800193287</v>
      </c>
      <c r="G308" s="22">
        <f t="shared" si="70"/>
        <v>2.3212188162011797E-17</v>
      </c>
      <c r="H308" s="21">
        <v>5.9619706662479001E-5</v>
      </c>
      <c r="I308">
        <f t="shared" si="63"/>
        <v>3.5077117891833057E-2</v>
      </c>
      <c r="J308" s="22">
        <f t="shared" si="71"/>
        <v>5.9619706662479001E-5</v>
      </c>
      <c r="K308">
        <f t="shared" si="72"/>
        <v>3.4469046325242281E-2</v>
      </c>
      <c r="L308">
        <v>1.3478790939090768E-2</v>
      </c>
      <c r="M308">
        <f t="shared" si="64"/>
        <v>3.4469046325242281E-2</v>
      </c>
      <c r="N308">
        <f t="shared" si="65"/>
        <v>5.9619706662479001E-5</v>
      </c>
      <c r="O308">
        <v>2.3212188162011797E-17</v>
      </c>
      <c r="P308">
        <f t="shared" si="66"/>
        <v>5.9619706662455785E-5</v>
      </c>
      <c r="Q308">
        <f t="shared" si="67"/>
        <v>0.99994038029333754</v>
      </c>
      <c r="R308">
        <f t="shared" si="68"/>
        <v>1</v>
      </c>
      <c r="S308">
        <v>5.5709251588828315E-14</v>
      </c>
      <c r="T308">
        <v>6.2600691995578578E-2</v>
      </c>
      <c r="U308">
        <f t="shared" si="73"/>
        <v>6.3718101097942792E-2</v>
      </c>
      <c r="V308">
        <v>2.9809853331245999E-5</v>
      </c>
      <c r="W308">
        <f t="shared" si="74"/>
        <v>3.0341952903773174E-5</v>
      </c>
    </row>
    <row r="309" spans="1:23">
      <c r="A309">
        <v>306</v>
      </c>
      <c r="B309">
        <f t="shared" si="60"/>
        <v>90.5</v>
      </c>
      <c r="C309">
        <f t="shared" si="61"/>
        <v>0.41593079892681645</v>
      </c>
      <c r="D309" s="21">
        <v>1.99640330577446E-17</v>
      </c>
      <c r="E309">
        <f t="shared" si="69"/>
        <v>0.1399331713837737</v>
      </c>
      <c r="F309">
        <f t="shared" si="62"/>
        <v>0.15074518506038365</v>
      </c>
      <c r="G309" s="22">
        <f t="shared" si="70"/>
        <v>1.9964033057744597E-17</v>
      </c>
      <c r="H309" s="21">
        <v>5.7564010092068897E-5</v>
      </c>
      <c r="I309">
        <f t="shared" si="63"/>
        <v>3.508862049136606E-2</v>
      </c>
      <c r="J309" s="22">
        <f t="shared" si="71"/>
        <v>5.7564010092068897E-5</v>
      </c>
      <c r="K309">
        <f t="shared" si="72"/>
        <v>3.4480152377264761E-2</v>
      </c>
      <c r="L309">
        <v>1.3478790939090768E-2</v>
      </c>
      <c r="M309">
        <f t="shared" si="64"/>
        <v>3.4480152377264761E-2</v>
      </c>
      <c r="N309">
        <f t="shared" si="65"/>
        <v>5.7564010092068897E-5</v>
      </c>
      <c r="O309">
        <v>1.9964033057744597E-17</v>
      </c>
      <c r="P309">
        <f t="shared" si="66"/>
        <v>5.7564010092048934E-5</v>
      </c>
      <c r="Q309">
        <f t="shared" si="67"/>
        <v>0.99994243598990795</v>
      </c>
      <c r="R309">
        <f t="shared" si="68"/>
        <v>1</v>
      </c>
      <c r="S309">
        <v>4.7913679338587035E-14</v>
      </c>
      <c r="T309">
        <v>6.0442210596651384E-2</v>
      </c>
      <c r="U309">
        <f t="shared" si="73"/>
        <v>6.152145129616679E-2</v>
      </c>
      <c r="V309">
        <v>2.8782005046040039E-5</v>
      </c>
      <c r="W309">
        <f t="shared" si="74"/>
        <v>2.9295929188643017E-5</v>
      </c>
    </row>
    <row r="310" spans="1:23">
      <c r="A310">
        <v>307</v>
      </c>
      <c r="B310">
        <f t="shared" si="60"/>
        <v>90.583333333333329</v>
      </c>
      <c r="C310">
        <f t="shared" si="61"/>
        <v>0.41474012204169725</v>
      </c>
      <c r="D310" s="21">
        <v>1.71687103904368E-17</v>
      </c>
      <c r="E310">
        <f t="shared" si="69"/>
        <v>0.14001793421311826</v>
      </c>
      <c r="F310">
        <f t="shared" si="62"/>
        <v>0.15084374368820982</v>
      </c>
      <c r="G310" s="22">
        <f t="shared" si="70"/>
        <v>1.7168710390436796E-17</v>
      </c>
      <c r="H310" s="21">
        <v>5.55785568317123E-5</v>
      </c>
      <c r="I310">
        <f t="shared" si="63"/>
        <v>3.5100089254082922E-2</v>
      </c>
      <c r="J310" s="22">
        <f t="shared" si="71"/>
        <v>5.55785568317123E-5</v>
      </c>
      <c r="K310">
        <f t="shared" si="72"/>
        <v>3.4491225631797184E-2</v>
      </c>
      <c r="L310">
        <v>1.3478790939090768E-2</v>
      </c>
      <c r="M310">
        <f t="shared" si="64"/>
        <v>3.4491225631797184E-2</v>
      </c>
      <c r="N310">
        <f t="shared" si="65"/>
        <v>5.55785568317123E-5</v>
      </c>
      <c r="O310">
        <v>1.7168710390436796E-17</v>
      </c>
      <c r="P310">
        <f t="shared" si="66"/>
        <v>5.5578556831695128E-5</v>
      </c>
      <c r="Q310">
        <f t="shared" si="67"/>
        <v>0.99994442144316831</v>
      </c>
      <c r="R310">
        <f t="shared" si="68"/>
        <v>1</v>
      </c>
      <c r="S310">
        <v>4.1204904937048311E-14</v>
      </c>
      <c r="T310">
        <v>5.8357484673279884E-2</v>
      </c>
      <c r="U310">
        <f t="shared" si="73"/>
        <v>5.9399847635010189E-2</v>
      </c>
      <c r="V310">
        <v>2.7789278415860958E-5</v>
      </c>
      <c r="W310">
        <f t="shared" si="74"/>
        <v>2.8285641730950498E-5</v>
      </c>
    </row>
    <row r="311" spans="1:23">
      <c r="A311">
        <v>308</v>
      </c>
      <c r="B311">
        <f t="shared" si="60"/>
        <v>90.666666666666671</v>
      </c>
      <c r="C311">
        <f t="shared" si="61"/>
        <v>0.41355285368378597</v>
      </c>
      <c r="D311" s="21">
        <v>1.4763331696337201E-17</v>
      </c>
      <c r="E311">
        <f t="shared" si="69"/>
        <v>0.1401024677683087</v>
      </c>
      <c r="F311">
        <f t="shared" si="62"/>
        <v>0.15094204540113892</v>
      </c>
      <c r="G311" s="22">
        <f t="shared" si="70"/>
        <v>1.4763331696337198E-17</v>
      </c>
      <c r="H311" s="21">
        <v>5.3660970663769703E-5</v>
      </c>
      <c r="I311">
        <f t="shared" si="63"/>
        <v>3.5111524389421001E-2</v>
      </c>
      <c r="J311" s="22">
        <f t="shared" si="71"/>
        <v>5.3660970663769703E-5</v>
      </c>
      <c r="K311">
        <f t="shared" si="72"/>
        <v>3.4502266292176342E-2</v>
      </c>
      <c r="L311">
        <v>1.3478790939090768E-2</v>
      </c>
      <c r="M311">
        <f t="shared" si="64"/>
        <v>3.4502266292176342E-2</v>
      </c>
      <c r="N311">
        <f t="shared" si="65"/>
        <v>5.3660970663769703E-5</v>
      </c>
      <c r="O311">
        <v>1.4763331696337198E-17</v>
      </c>
      <c r="P311">
        <f t="shared" si="66"/>
        <v>5.3660970663754938E-5</v>
      </c>
      <c r="Q311">
        <f t="shared" si="67"/>
        <v>0.99994633902933627</v>
      </c>
      <c r="R311">
        <f t="shared" si="68"/>
        <v>1</v>
      </c>
      <c r="S311">
        <v>3.5431996071209275E-14</v>
      </c>
      <c r="T311">
        <v>5.6344019196942687E-2</v>
      </c>
      <c r="U311">
        <f t="shared" si="73"/>
        <v>5.7350751935149602E-2</v>
      </c>
      <c r="V311">
        <v>2.6830485331888985E-5</v>
      </c>
      <c r="W311">
        <f t="shared" si="74"/>
        <v>2.730988187387497E-5</v>
      </c>
    </row>
    <row r="312" spans="1:23">
      <c r="A312">
        <v>309</v>
      </c>
      <c r="B312">
        <f t="shared" si="60"/>
        <v>90.75</v>
      </c>
      <c r="C312">
        <f t="shared" si="61"/>
        <v>0.41236898409555911</v>
      </c>
      <c r="D312" s="21">
        <v>1.2693707861094399E-17</v>
      </c>
      <c r="E312">
        <f t="shared" si="69"/>
        <v>0.14018677340672892</v>
      </c>
      <c r="F312">
        <f t="shared" si="62"/>
        <v>0.15104009170114041</v>
      </c>
      <c r="G312" s="22">
        <f t="shared" si="70"/>
        <v>1.2693707861094396E-17</v>
      </c>
      <c r="H312" s="21">
        <v>5.1808954850103698E-5</v>
      </c>
      <c r="I312">
        <f t="shared" si="63"/>
        <v>3.5122926104859932E-2</v>
      </c>
      <c r="J312" s="22">
        <f t="shared" si="71"/>
        <v>5.1808954850103698E-5</v>
      </c>
      <c r="K312">
        <f t="shared" si="72"/>
        <v>3.4513274559836327E-2</v>
      </c>
      <c r="L312">
        <v>1.3478790939090768E-2</v>
      </c>
      <c r="M312">
        <f t="shared" si="64"/>
        <v>3.4513274559836327E-2</v>
      </c>
      <c r="N312">
        <f t="shared" si="65"/>
        <v>5.1808954850103698E-5</v>
      </c>
      <c r="O312">
        <v>1.2693707861094396E-17</v>
      </c>
      <c r="P312">
        <f t="shared" si="66"/>
        <v>5.1808954850091006E-5</v>
      </c>
      <c r="Q312">
        <f t="shared" si="67"/>
        <v>0.99994819104514987</v>
      </c>
      <c r="R312">
        <f t="shared" si="68"/>
        <v>1</v>
      </c>
      <c r="S312">
        <v>3.0464898866626553E-14</v>
      </c>
      <c r="T312">
        <v>5.4399402592595555E-2</v>
      </c>
      <c r="U312">
        <f t="shared" si="73"/>
        <v>5.537171089480207E-2</v>
      </c>
      <c r="V312">
        <v>2.5904477425055403E-5</v>
      </c>
      <c r="W312">
        <f t="shared" si="74"/>
        <v>2.6367481378472192E-5</v>
      </c>
    </row>
    <row r="313" spans="1:23">
      <c r="A313">
        <v>310</v>
      </c>
      <c r="B313">
        <f t="shared" si="60"/>
        <v>90.833333333333329</v>
      </c>
      <c r="C313">
        <f t="shared" si="61"/>
        <v>0.41118850354742575</v>
      </c>
      <c r="D313" s="21">
        <v>1.09131506383712E-17</v>
      </c>
      <c r="E313">
        <f t="shared" si="69"/>
        <v>0.14027085247333615</v>
      </c>
      <c r="F313">
        <f t="shared" si="62"/>
        <v>0.15113788407653012</v>
      </c>
      <c r="G313" s="22">
        <f t="shared" si="70"/>
        <v>1.0913150638371196E-17</v>
      </c>
      <c r="H313" s="21">
        <v>5.0020289507756803E-5</v>
      </c>
      <c r="I313">
        <f t="shared" si="63"/>
        <v>3.5134294605928269E-2</v>
      </c>
      <c r="J313" s="22">
        <f t="shared" si="71"/>
        <v>5.0020289507756803E-5</v>
      </c>
      <c r="K313">
        <f t="shared" si="72"/>
        <v>3.4524250634315079E-2</v>
      </c>
      <c r="L313">
        <v>1.3478790939090768E-2</v>
      </c>
      <c r="M313">
        <f t="shared" si="64"/>
        <v>3.4524250634315079E-2</v>
      </c>
      <c r="N313">
        <f t="shared" si="65"/>
        <v>5.0020289507756803E-5</v>
      </c>
      <c r="O313">
        <v>1.0913150638371196E-17</v>
      </c>
      <c r="P313">
        <f t="shared" si="66"/>
        <v>5.0020289507745893E-5</v>
      </c>
      <c r="Q313">
        <f t="shared" si="67"/>
        <v>0.99994997971049226</v>
      </c>
      <c r="R313">
        <f t="shared" si="68"/>
        <v>1</v>
      </c>
      <c r="S313">
        <v>2.6191561532090871E-14</v>
      </c>
      <c r="T313">
        <v>5.2521303983133191E-2</v>
      </c>
      <c r="U313">
        <f t="shared" si="73"/>
        <v>5.3460353287892698E-2</v>
      </c>
      <c r="V313">
        <v>2.5010144753881458E-5</v>
      </c>
      <c r="W313">
        <f t="shared" si="74"/>
        <v>2.5457311089468432E-5</v>
      </c>
    </row>
    <row r="314" spans="1:23">
      <c r="A314">
        <v>311</v>
      </c>
      <c r="B314">
        <f t="shared" si="60"/>
        <v>90.916666666666671</v>
      </c>
      <c r="C314">
        <f t="shared" si="61"/>
        <v>0.41001140233764771</v>
      </c>
      <c r="D314" s="21">
        <v>9.3814385857055593E-18</v>
      </c>
      <c r="E314">
        <f t="shared" si="69"/>
        <v>0.14035470630086067</v>
      </c>
      <c r="F314">
        <f t="shared" si="62"/>
        <v>0.15123542400219195</v>
      </c>
      <c r="G314" s="22">
        <f t="shared" si="70"/>
        <v>9.3814385857055578E-18</v>
      </c>
      <c r="H314" s="21">
        <v>4.82928290699917E-5</v>
      </c>
      <c r="I314">
        <f t="shared" si="63"/>
        <v>3.5145630096231555E-2</v>
      </c>
      <c r="J314" s="22">
        <f t="shared" si="71"/>
        <v>4.82928290699917E-5</v>
      </c>
      <c r="K314">
        <f t="shared" si="72"/>
        <v>3.4535194713281703E-2</v>
      </c>
      <c r="L314">
        <v>1.3478790939090768E-2</v>
      </c>
      <c r="M314">
        <f t="shared" si="64"/>
        <v>3.4535194713281703E-2</v>
      </c>
      <c r="N314">
        <f t="shared" si="65"/>
        <v>4.82928290699917E-5</v>
      </c>
      <c r="O314">
        <v>9.3814385857055578E-18</v>
      </c>
      <c r="P314">
        <f t="shared" si="66"/>
        <v>4.8292829069982322E-5</v>
      </c>
      <c r="Q314">
        <f t="shared" si="67"/>
        <v>0.99995170717092996</v>
      </c>
      <c r="R314">
        <f t="shared" si="68"/>
        <v>1</v>
      </c>
      <c r="S314">
        <v>2.2515452605693338E-14</v>
      </c>
      <c r="T314">
        <v>5.0707470523481436E-2</v>
      </c>
      <c r="U314">
        <f t="shared" si="73"/>
        <v>5.1614387253331673E-2</v>
      </c>
      <c r="V314">
        <v>2.4146414534998479E-5</v>
      </c>
      <c r="W314">
        <f t="shared" si="74"/>
        <v>2.457827964443997E-5</v>
      </c>
    </row>
    <row r="315" spans="1:23">
      <c r="A315">
        <v>312</v>
      </c>
      <c r="B315">
        <f t="shared" si="60"/>
        <v>91</v>
      </c>
      <c r="C315">
        <f t="shared" si="61"/>
        <v>0.40883767079226013</v>
      </c>
      <c r="D315" s="21">
        <v>8.0639249594731901E-18</v>
      </c>
      <c r="E315">
        <f t="shared" si="69"/>
        <v>0.14043833620995572</v>
      </c>
      <c r="F315">
        <f t="shared" si="62"/>
        <v>0.15133271293974157</v>
      </c>
      <c r="G315" s="22">
        <f t="shared" si="70"/>
        <v>8.0639249594731885E-18</v>
      </c>
      <c r="H315" s="21">
        <v>4.66244998299662E-5</v>
      </c>
      <c r="I315">
        <f t="shared" si="63"/>
        <v>3.5156932777479888E-2</v>
      </c>
      <c r="J315" s="22">
        <f t="shared" si="71"/>
        <v>4.66244998299662E-5</v>
      </c>
      <c r="K315">
        <f t="shared" si="72"/>
        <v>3.4546106992563219E-2</v>
      </c>
      <c r="L315">
        <v>1.521344702590488E-2</v>
      </c>
      <c r="M315">
        <f t="shared" si="64"/>
        <v>3.4546106992563219E-2</v>
      </c>
      <c r="N315">
        <f t="shared" si="65"/>
        <v>4.66244998299662E-5</v>
      </c>
      <c r="O315">
        <v>8.0639249594731885E-18</v>
      </c>
      <c r="P315">
        <f t="shared" si="66"/>
        <v>4.6624499829958136E-5</v>
      </c>
      <c r="Q315">
        <f t="shared" si="67"/>
        <v>0.99995337550017005</v>
      </c>
      <c r="R315">
        <f t="shared" si="68"/>
        <v>1</v>
      </c>
      <c r="S315">
        <v>1.9353419902735653E-14</v>
      </c>
      <c r="T315">
        <v>4.8955724821456041E-2</v>
      </c>
      <c r="U315">
        <f t="shared" si="73"/>
        <v>4.9831597672489673E-2</v>
      </c>
      <c r="V315">
        <v>2.3312249914985357E-5</v>
      </c>
      <c r="W315">
        <f t="shared" si="74"/>
        <v>2.3729332224991918E-5</v>
      </c>
    </row>
    <row r="316" spans="1:23">
      <c r="A316">
        <v>313</v>
      </c>
      <c r="B316">
        <f t="shared" si="60"/>
        <v>91.083333333333329</v>
      </c>
      <c r="C316">
        <f t="shared" si="61"/>
        <v>0.40766729926499073</v>
      </c>
      <c r="D316" s="21">
        <v>6.9307681646399197E-18</v>
      </c>
      <c r="E316">
        <f t="shared" si="69"/>
        <v>0.14052174350929214</v>
      </c>
      <c r="F316">
        <f t="shared" si="62"/>
        <v>0.15142975233762623</v>
      </c>
      <c r="G316" s="22">
        <f t="shared" si="70"/>
        <v>6.9307681646399181E-18</v>
      </c>
      <c r="H316" s="21">
        <v>4.5013297564401299E-5</v>
      </c>
      <c r="I316">
        <f t="shared" si="63"/>
        <v>3.5168202849501069E-2</v>
      </c>
      <c r="J316" s="22">
        <f t="shared" si="71"/>
        <v>4.5013297564401299E-5</v>
      </c>
      <c r="K316">
        <f t="shared" si="72"/>
        <v>3.4556987666157446E-2</v>
      </c>
      <c r="L316">
        <v>1.521344702590488E-2</v>
      </c>
      <c r="M316">
        <f t="shared" si="64"/>
        <v>3.4556987666157446E-2</v>
      </c>
      <c r="N316">
        <f t="shared" si="65"/>
        <v>4.5013297564401299E-5</v>
      </c>
      <c r="O316">
        <v>6.9307681646399181E-18</v>
      </c>
      <c r="P316">
        <f t="shared" si="66"/>
        <v>4.5013297564394367E-5</v>
      </c>
      <c r="Q316">
        <f t="shared" si="67"/>
        <v>0.99995498670243554</v>
      </c>
      <c r="R316">
        <f t="shared" si="68"/>
        <v>1</v>
      </c>
      <c r="S316">
        <v>1.6633843595135805E-14</v>
      </c>
      <c r="T316">
        <v>4.7263962442614084E-2</v>
      </c>
      <c r="U316">
        <f t="shared" si="73"/>
        <v>4.8109843632053055E-2</v>
      </c>
      <c r="V316">
        <v>2.2506648782202591E-5</v>
      </c>
      <c r="W316">
        <f t="shared" si="74"/>
        <v>2.2909449348593972E-5</v>
      </c>
    </row>
    <row r="317" spans="1:23">
      <c r="A317">
        <v>314</v>
      </c>
      <c r="B317">
        <f t="shared" si="60"/>
        <v>91.166666666666671</v>
      </c>
      <c r="C317">
        <f t="shared" si="61"/>
        <v>0.40650027813718248</v>
      </c>
      <c r="D317" s="21">
        <v>5.9562679954988897E-18</v>
      </c>
      <c r="E317">
        <f t="shared" si="69"/>
        <v>0.14060492949581427</v>
      </c>
      <c r="F317">
        <f t="shared" si="62"/>
        <v>0.15152654363141227</v>
      </c>
      <c r="G317" s="22">
        <f t="shared" si="70"/>
        <v>5.9562679954988882E-18</v>
      </c>
      <c r="H317" s="21">
        <v>4.34572852346817E-5</v>
      </c>
      <c r="I317">
        <f t="shared" si="63"/>
        <v>3.5179440510272081E-2</v>
      </c>
      <c r="J317" s="22">
        <f t="shared" si="71"/>
        <v>4.34572852346817E-5</v>
      </c>
      <c r="K317">
        <f t="shared" si="72"/>
        <v>3.4567836926263529E-2</v>
      </c>
      <c r="L317">
        <v>1.521344702590488E-2</v>
      </c>
      <c r="M317">
        <f t="shared" si="64"/>
        <v>3.4567836926263529E-2</v>
      </c>
      <c r="N317">
        <f t="shared" si="65"/>
        <v>4.34572852346817E-5</v>
      </c>
      <c r="O317">
        <v>5.9562679954988882E-18</v>
      </c>
      <c r="P317">
        <f t="shared" si="66"/>
        <v>4.3457285234675744E-5</v>
      </c>
      <c r="Q317">
        <f t="shared" si="67"/>
        <v>0.99995654271476531</v>
      </c>
      <c r="R317">
        <f t="shared" si="68"/>
        <v>1</v>
      </c>
      <c r="S317">
        <v>1.4295043189197332E-14</v>
      </c>
      <c r="T317">
        <v>4.5630149496409533E-2</v>
      </c>
      <c r="U317">
        <f t="shared" si="73"/>
        <v>4.6447055969527272E-2</v>
      </c>
      <c r="V317">
        <v>2.1728642617342517E-5</v>
      </c>
      <c r="W317">
        <f t="shared" si="74"/>
        <v>2.2117645699772552E-5</v>
      </c>
    </row>
    <row r="318" spans="1:23">
      <c r="A318">
        <v>315</v>
      </c>
      <c r="B318">
        <f t="shared" si="60"/>
        <v>91.25</v>
      </c>
      <c r="C318">
        <f t="shared" si="61"/>
        <v>0.40533659781771275</v>
      </c>
      <c r="D318" s="21">
        <v>5.1182931864476997E-18</v>
      </c>
      <c r="E318">
        <f t="shared" si="69"/>
        <v>0.1406878954547448</v>
      </c>
      <c r="F318">
        <f t="shared" si="62"/>
        <v>0.15162308824378068</v>
      </c>
      <c r="G318" s="22">
        <f t="shared" si="70"/>
        <v>5.1182931864476982E-18</v>
      </c>
      <c r="H318" s="21">
        <v>4.1954590762909097E-5</v>
      </c>
      <c r="I318">
        <f t="shared" si="63"/>
        <v>3.5190645955957396E-2</v>
      </c>
      <c r="J318" s="22">
        <f t="shared" si="71"/>
        <v>4.1954590762909097E-5</v>
      </c>
      <c r="K318">
        <f t="shared" si="72"/>
        <v>3.4578654963319133E-2</v>
      </c>
      <c r="L318">
        <v>1.521344702590488E-2</v>
      </c>
      <c r="M318">
        <f t="shared" si="64"/>
        <v>3.4578654963319133E-2</v>
      </c>
      <c r="N318">
        <f t="shared" si="65"/>
        <v>4.1954590762909097E-5</v>
      </c>
      <c r="O318">
        <v>5.1182931864476982E-18</v>
      </c>
      <c r="P318">
        <f t="shared" si="66"/>
        <v>4.1954590762903981E-5</v>
      </c>
      <c r="Q318">
        <f t="shared" si="67"/>
        <v>0.99995804540923705</v>
      </c>
      <c r="R318">
        <f t="shared" si="68"/>
        <v>1</v>
      </c>
      <c r="S318">
        <v>1.2283903647474476E-14</v>
      </c>
      <c r="T318">
        <v>4.4052320301049178E-2</v>
      </c>
      <c r="U318">
        <f t="shared" si="73"/>
        <v>4.4841234898742643E-2</v>
      </c>
      <c r="V318">
        <v>2.0977295381455982E-5</v>
      </c>
      <c r="W318">
        <f t="shared" si="74"/>
        <v>2.1352968999399249E-5</v>
      </c>
    </row>
    <row r="319" spans="1:23">
      <c r="A319">
        <v>316</v>
      </c>
      <c r="B319">
        <f t="shared" si="60"/>
        <v>91.333333333333329</v>
      </c>
      <c r="C319">
        <f t="shared" si="61"/>
        <v>0.40417624874291541</v>
      </c>
      <c r="D319" s="21">
        <v>4.3977877652700799E-18</v>
      </c>
      <c r="E319">
        <f t="shared" si="69"/>
        <v>0.14077064265981987</v>
      </c>
      <c r="F319">
        <f t="shared" si="62"/>
        <v>0.15171938758479073</v>
      </c>
      <c r="G319" s="22">
        <f t="shared" si="70"/>
        <v>4.3977877652700784E-18</v>
      </c>
      <c r="H319" s="21">
        <v>4.0503404880508997E-5</v>
      </c>
      <c r="I319">
        <f t="shared" si="63"/>
        <v>3.5201819380888046E-2</v>
      </c>
      <c r="J319" s="22">
        <f t="shared" si="71"/>
        <v>4.0503404880508997E-5</v>
      </c>
      <c r="K319">
        <f t="shared" si="72"/>
        <v>3.458944196598035E-2</v>
      </c>
      <c r="L319">
        <v>1.521344702590488E-2</v>
      </c>
      <c r="M319">
        <f t="shared" si="64"/>
        <v>3.458944196598035E-2</v>
      </c>
      <c r="N319">
        <f t="shared" si="65"/>
        <v>4.0503404880508997E-5</v>
      </c>
      <c r="O319">
        <v>4.3977877652700784E-18</v>
      </c>
      <c r="P319">
        <f t="shared" si="66"/>
        <v>4.0503404880504599E-5</v>
      </c>
      <c r="Q319">
        <f t="shared" si="67"/>
        <v>0.99995949659511951</v>
      </c>
      <c r="R319">
        <f t="shared" si="68"/>
        <v>1</v>
      </c>
      <c r="S319">
        <v>1.0554690636648188E-14</v>
      </c>
      <c r="T319">
        <v>4.252857512452983E-2</v>
      </c>
      <c r="U319">
        <f t="shared" si="73"/>
        <v>4.3290447712800925E-2</v>
      </c>
      <c r="V319">
        <v>2.0251702440255729E-5</v>
      </c>
      <c r="W319">
        <f t="shared" si="74"/>
        <v>2.0614498910855855E-5</v>
      </c>
    </row>
    <row r="320" spans="1:23">
      <c r="A320">
        <v>317</v>
      </c>
      <c r="B320">
        <f t="shared" si="60"/>
        <v>91.416666666666671</v>
      </c>
      <c r="C320">
        <f t="shared" si="61"/>
        <v>0.40301922137650253</v>
      </c>
      <c r="D320" s="21">
        <v>3.7783454071067499E-18</v>
      </c>
      <c r="E320">
        <f t="shared" si="69"/>
        <v>0.14085317237342587</v>
      </c>
      <c r="F320">
        <f t="shared" si="62"/>
        <v>0.15181544305202949</v>
      </c>
      <c r="G320" s="22">
        <f t="shared" si="70"/>
        <v>3.7783454071067484E-18</v>
      </c>
      <c r="H320" s="21">
        <v>3.9101979047060502E-5</v>
      </c>
      <c r="I320">
        <f t="shared" si="63"/>
        <v>3.5212960977635016E-2</v>
      </c>
      <c r="J320" s="22">
        <f t="shared" si="71"/>
        <v>3.9101979047060502E-5</v>
      </c>
      <c r="K320">
        <f t="shared" si="72"/>
        <v>3.4600198121192749E-2</v>
      </c>
      <c r="L320">
        <v>1.521344702590488E-2</v>
      </c>
      <c r="M320">
        <f t="shared" si="64"/>
        <v>3.4600198121192749E-2</v>
      </c>
      <c r="N320">
        <f t="shared" si="65"/>
        <v>3.9101979047060502E-5</v>
      </c>
      <c r="O320">
        <v>3.7783454071067484E-18</v>
      </c>
      <c r="P320">
        <f t="shared" si="66"/>
        <v>3.9101979047056721E-5</v>
      </c>
      <c r="Q320">
        <f t="shared" si="67"/>
        <v>0.99996089802095289</v>
      </c>
      <c r="R320">
        <f t="shared" si="68"/>
        <v>1</v>
      </c>
      <c r="S320">
        <v>9.0680289770561961E-15</v>
      </c>
      <c r="T320">
        <v>4.1057077999409559E-2</v>
      </c>
      <c r="U320">
        <f t="shared" si="73"/>
        <v>4.179282656197951E-2</v>
      </c>
      <c r="V320">
        <v>1.9550989523531308E-5</v>
      </c>
      <c r="W320">
        <f t="shared" si="74"/>
        <v>1.9901345981893517E-5</v>
      </c>
    </row>
    <row r="321" spans="1:23">
      <c r="A321">
        <v>318</v>
      </c>
      <c r="B321">
        <f t="shared" si="60"/>
        <v>91.5</v>
      </c>
      <c r="C321">
        <f t="shared" si="61"/>
        <v>0.40186550620948458</v>
      </c>
      <c r="D321" s="21">
        <v>3.2458424614595701E-18</v>
      </c>
      <c r="E321">
        <f t="shared" si="69"/>
        <v>0.1409354858466848</v>
      </c>
      <c r="F321">
        <f t="shared" si="62"/>
        <v>0.15191125603070141</v>
      </c>
      <c r="G321" s="22">
        <f t="shared" si="70"/>
        <v>3.2458424614595685E-18</v>
      </c>
      <c r="H321" s="21">
        <v>3.7748623437099802E-5</v>
      </c>
      <c r="I321">
        <f t="shared" si="63"/>
        <v>3.522407093698738E-2</v>
      </c>
      <c r="J321" s="22">
        <f t="shared" si="71"/>
        <v>3.7748623437099802E-5</v>
      </c>
      <c r="K321">
        <f t="shared" si="72"/>
        <v>3.4610923614170397E-2</v>
      </c>
      <c r="L321">
        <v>1.521344702590488E-2</v>
      </c>
      <c r="M321">
        <f t="shared" si="64"/>
        <v>3.4610923614170397E-2</v>
      </c>
      <c r="N321">
        <f t="shared" si="65"/>
        <v>3.7748623437099802E-5</v>
      </c>
      <c r="O321">
        <v>3.2458424614595685E-18</v>
      </c>
      <c r="P321">
        <f t="shared" si="66"/>
        <v>3.7748623437096556E-5</v>
      </c>
      <c r="Q321">
        <f t="shared" si="67"/>
        <v>0.99996225137656292</v>
      </c>
      <c r="R321">
        <f t="shared" si="68"/>
        <v>1</v>
      </c>
      <c r="S321">
        <v>7.7900219075029649E-15</v>
      </c>
      <c r="T321">
        <v>3.9636054608951386E-2</v>
      </c>
      <c r="U321">
        <f t="shared" si="73"/>
        <v>4.0346566304188904E-2</v>
      </c>
      <c r="V321">
        <v>1.8874311718550809E-5</v>
      </c>
      <c r="W321">
        <f t="shared" si="74"/>
        <v>1.9212650621041057E-5</v>
      </c>
    </row>
    <row r="322" spans="1:23">
      <c r="A322">
        <v>319</v>
      </c>
      <c r="B322">
        <f t="shared" si="60"/>
        <v>91.583333333333329</v>
      </c>
      <c r="C322">
        <f t="shared" si="61"/>
        <v>0.40071509376009395</v>
      </c>
      <c r="D322" s="21">
        <v>2.7881215984624602E-18</v>
      </c>
      <c r="E322">
        <f t="shared" si="69"/>
        <v>0.14101758431962985</v>
      </c>
      <c r="F322">
        <f t="shared" si="62"/>
        <v>0.1520068278938233</v>
      </c>
      <c r="G322" s="22">
        <f t="shared" si="70"/>
        <v>2.788121598462459E-18</v>
      </c>
      <c r="H322" s="21">
        <v>3.6441704992711397E-5</v>
      </c>
      <c r="I322">
        <f t="shared" si="63"/>
        <v>3.5235149448012731E-2</v>
      </c>
      <c r="J322" s="22">
        <f t="shared" si="71"/>
        <v>3.6441704992711397E-5</v>
      </c>
      <c r="K322">
        <f t="shared" si="72"/>
        <v>3.4621618628454365E-2</v>
      </c>
      <c r="L322">
        <v>1.521344702590488E-2</v>
      </c>
      <c r="M322">
        <f t="shared" si="64"/>
        <v>3.4621618628454365E-2</v>
      </c>
      <c r="N322">
        <f t="shared" si="65"/>
        <v>3.6441704992711397E-5</v>
      </c>
      <c r="O322">
        <v>2.788121598462459E-18</v>
      </c>
      <c r="P322">
        <f t="shared" si="66"/>
        <v>3.6441704992708612E-5</v>
      </c>
      <c r="Q322">
        <f t="shared" si="67"/>
        <v>0.99996355829500727</v>
      </c>
      <c r="R322">
        <f t="shared" si="68"/>
        <v>1</v>
      </c>
      <c r="S322">
        <v>6.6914918363099018E-15</v>
      </c>
      <c r="T322">
        <v>3.826379024234404E-2</v>
      </c>
      <c r="U322">
        <f t="shared" si="73"/>
        <v>3.8949922425654954E-2</v>
      </c>
      <c r="V322">
        <v>1.8220852496356481E-5</v>
      </c>
      <c r="W322">
        <f t="shared" si="74"/>
        <v>1.8547582107453647E-5</v>
      </c>
    </row>
    <row r="323" spans="1:23">
      <c r="A323">
        <v>320</v>
      </c>
      <c r="B323">
        <f t="shared" ref="B323:B363" si="75">(start_age*12+A323)/12</f>
        <v>91.666666666666671</v>
      </c>
      <c r="C323">
        <f t="shared" ref="C323:C363" si="76">1/(1+Disc_rate_per_cyc)^$A323</f>
        <v>0.3995679745737063</v>
      </c>
      <c r="D323" s="21">
        <v>2.39471912135255E-18</v>
      </c>
      <c r="E323">
        <f t="shared" si="69"/>
        <v>0.14109946902131387</v>
      </c>
      <c r="F323">
        <f t="shared" si="62"/>
        <v>0.15210216000234128</v>
      </c>
      <c r="G323" s="22">
        <f t="shared" si="70"/>
        <v>2.3947191213525492E-18</v>
      </c>
      <c r="H323" s="21">
        <v>3.5179645539795802E-5</v>
      </c>
      <c r="I323">
        <f t="shared" si="63"/>
        <v>3.5246196698052776E-2</v>
      </c>
      <c r="J323" s="22">
        <f t="shared" si="71"/>
        <v>3.5179645539795802E-5</v>
      </c>
      <c r="K323">
        <f t="shared" si="72"/>
        <v>3.4632283345908621E-2</v>
      </c>
      <c r="L323">
        <v>1.521344702590488E-2</v>
      </c>
      <c r="M323">
        <f t="shared" si="64"/>
        <v>3.4632283345908621E-2</v>
      </c>
      <c r="N323">
        <f t="shared" si="65"/>
        <v>3.5179645539795802E-5</v>
      </c>
      <c r="O323">
        <v>2.3947191213525492E-18</v>
      </c>
      <c r="P323">
        <f t="shared" si="66"/>
        <v>3.517964553979341E-5</v>
      </c>
      <c r="Q323">
        <f t="shared" si="67"/>
        <v>0.99996482035446022</v>
      </c>
      <c r="R323">
        <f t="shared" si="68"/>
        <v>1</v>
      </c>
      <c r="S323">
        <v>5.747325891246118E-15</v>
      </c>
      <c r="T323">
        <v>3.693862781678308E-2</v>
      </c>
      <c r="U323">
        <f t="shared" si="73"/>
        <v>3.7601209029569774E-2</v>
      </c>
      <c r="V323">
        <v>1.7589822769898572E-5</v>
      </c>
      <c r="W323">
        <f t="shared" si="74"/>
        <v>1.7905337633127527E-5</v>
      </c>
    </row>
    <row r="324" spans="1:23">
      <c r="A324">
        <v>321</v>
      </c>
      <c r="B324">
        <f t="shared" si="75"/>
        <v>91.75</v>
      </c>
      <c r="C324">
        <f t="shared" si="76"/>
        <v>0.39842413922276249</v>
      </c>
      <c r="D324" s="21">
        <v>2.0566299430184E-18</v>
      </c>
      <c r="E324">
        <f t="shared" si="69"/>
        <v>0.14118114116999048</v>
      </c>
      <c r="F324">
        <f t="shared" ref="F324:F363" si="77">-LN(D324/D323)*PSA_SocHRsclr_pfs_VtUs</f>
        <v>0.15219725370533224</v>
      </c>
      <c r="G324" s="22">
        <f t="shared" si="70"/>
        <v>2.0566299430183993E-18</v>
      </c>
      <c r="H324" s="21">
        <v>3.39609199659654E-5</v>
      </c>
      <c r="I324">
        <f t="shared" ref="I324:I363" si="78">-LN(H324/H323)*PSA_SocHRsclr_os_VtUs</f>
        <v>3.5257212872739738E-2</v>
      </c>
      <c r="J324" s="22">
        <f t="shared" si="71"/>
        <v>3.39609199659654E-5</v>
      </c>
      <c r="K324">
        <f t="shared" si="72"/>
        <v>3.4642917946736018E-2</v>
      </c>
      <c r="L324">
        <v>1.521344702590488E-2</v>
      </c>
      <c r="M324">
        <f t="shared" ref="M324:M363" si="79">MAX(K324:L324)</f>
        <v>3.4642917946736018E-2</v>
      </c>
      <c r="N324">
        <f t="shared" ref="N324:N363" si="80">N323*(1-M324)</f>
        <v>3.39609199659654E-5</v>
      </c>
      <c r="O324">
        <v>2.0566299430183993E-18</v>
      </c>
      <c r="P324">
        <f t="shared" ref="P324:P363" si="81">N324-O324</f>
        <v>3.396091996596334E-5</v>
      </c>
      <c r="Q324">
        <f t="shared" ref="Q324:Q363" si="82">1-N324</f>
        <v>0.99996603908003401</v>
      </c>
      <c r="R324">
        <f t="shared" ref="R324:R363" si="83">SUM(O324:Q324)</f>
        <v>1</v>
      </c>
      <c r="S324">
        <v>4.935911863244158E-15</v>
      </c>
      <c r="T324">
        <v>3.5658965964261505E-2</v>
      </c>
      <c r="U324">
        <f t="shared" si="73"/>
        <v>3.6298796890527632E-2</v>
      </c>
      <c r="V324">
        <v>1.6980459982983272E-5</v>
      </c>
      <c r="W324">
        <f t="shared" si="74"/>
        <v>1.7285141376440924E-5</v>
      </c>
    </row>
    <row r="325" spans="1:23">
      <c r="A325">
        <v>322</v>
      </c>
      <c r="B325">
        <f t="shared" si="75"/>
        <v>91.833333333333329</v>
      </c>
      <c r="C325">
        <f t="shared" si="76"/>
        <v>0.39728357830669164</v>
      </c>
      <c r="D325" s="21">
        <v>1.7661050459717001E-18</v>
      </c>
      <c r="E325">
        <f t="shared" ref="E325:E363" si="84">1-D325/D324</f>
        <v>0.14126260197316431</v>
      </c>
      <c r="F325">
        <f t="shared" si="77"/>
        <v>0.15229211034005347</v>
      </c>
      <c r="G325" s="22">
        <f t="shared" ref="G325:G363" si="85">G324*EXP(-F325)</f>
        <v>1.7661050459716994E-18</v>
      </c>
      <c r="H325" s="21">
        <v>3.2784054458084502E-5</v>
      </c>
      <c r="I325">
        <f t="shared" si="78"/>
        <v>3.5268198156046003E-2</v>
      </c>
      <c r="J325" s="22">
        <f t="shared" ref="J325:J363" si="86">J324*EXP(-I325)</f>
        <v>3.2784054458084502E-5</v>
      </c>
      <c r="K325">
        <f t="shared" ref="K325:K363" si="87">1-(J325/J324)</f>
        <v>3.4653522609526366E-2</v>
      </c>
      <c r="L325">
        <v>1.521344702590488E-2</v>
      </c>
      <c r="M325">
        <f t="shared" si="79"/>
        <v>3.4653522609526366E-2</v>
      </c>
      <c r="N325">
        <f t="shared" si="80"/>
        <v>3.2784054458084502E-5</v>
      </c>
      <c r="O325">
        <v>1.7661050459716994E-18</v>
      </c>
      <c r="P325">
        <f t="shared" si="81"/>
        <v>3.2784054458082734E-5</v>
      </c>
      <c r="Q325">
        <f t="shared" si="82"/>
        <v>0.99996721594554194</v>
      </c>
      <c r="R325">
        <f t="shared" si="83"/>
        <v>1</v>
      </c>
      <c r="S325">
        <v>4.2386521103320789E-15</v>
      </c>
      <c r="T325">
        <v>3.442325718098687E-2</v>
      </c>
      <c r="U325">
        <f t="shared" ref="U325:U363" si="88">(S324+T324+S325+T325)/2</f>
        <v>3.5041111572628778E-2</v>
      </c>
      <c r="V325">
        <v>1.6392027229042746E-5</v>
      </c>
      <c r="W325">
        <f t="shared" ref="W325:W363" si="89">(V324+V325)/2</f>
        <v>1.6686243606013009E-5</v>
      </c>
    </row>
    <row r="326" spans="1:23">
      <c r="A326">
        <v>323</v>
      </c>
      <c r="B326">
        <f t="shared" si="75"/>
        <v>91.916666666666671</v>
      </c>
      <c r="C326">
        <f t="shared" si="76"/>
        <v>0.39614628245183364</v>
      </c>
      <c r="D326" s="21">
        <v>1.5164769546286999E-18</v>
      </c>
      <c r="E326">
        <f t="shared" si="84"/>
        <v>0.1413438526277786</v>
      </c>
      <c r="F326">
        <f t="shared" si="77"/>
        <v>0.15238673123215193</v>
      </c>
      <c r="G326" s="22">
        <f t="shared" si="85"/>
        <v>1.5164769546286994E-18</v>
      </c>
      <c r="H326" s="21">
        <v>3.16476247975353E-5</v>
      </c>
      <c r="I326">
        <f t="shared" si="78"/>
        <v>3.5279152730278228E-2</v>
      </c>
      <c r="J326" s="22">
        <f t="shared" si="86"/>
        <v>3.16476247975353E-5</v>
      </c>
      <c r="K326">
        <f t="shared" si="87"/>
        <v>3.466409751125088E-2</v>
      </c>
      <c r="L326">
        <v>1.521344702590488E-2</v>
      </c>
      <c r="M326">
        <f t="shared" si="79"/>
        <v>3.466409751125088E-2</v>
      </c>
      <c r="N326">
        <f t="shared" si="80"/>
        <v>3.16476247975353E-5</v>
      </c>
      <c r="O326">
        <v>1.5164769546286994E-18</v>
      </c>
      <c r="P326">
        <f t="shared" si="81"/>
        <v>3.1647624797533782E-5</v>
      </c>
      <c r="Q326">
        <f t="shared" si="82"/>
        <v>0.99996835237520243</v>
      </c>
      <c r="R326">
        <f t="shared" si="83"/>
        <v>1</v>
      </c>
      <c r="S326">
        <v>3.6395446911088788E-15</v>
      </c>
      <c r="T326">
        <v>3.323000603741047E-2</v>
      </c>
      <c r="U326">
        <f t="shared" si="88"/>
        <v>3.3826631609202615E-2</v>
      </c>
      <c r="V326">
        <v>1.5823812398768074E-5</v>
      </c>
      <c r="W326">
        <f t="shared" si="89"/>
        <v>1.6107919813905408E-5</v>
      </c>
    </row>
    <row r="327" spans="1:23">
      <c r="A327">
        <v>324</v>
      </c>
      <c r="B327">
        <f t="shared" si="75"/>
        <v>92</v>
      </c>
      <c r="C327">
        <f t="shared" si="76"/>
        <v>0.39501224231136239</v>
      </c>
      <c r="D327" s="21">
        <v>1.3020093615811401E-18</v>
      </c>
      <c r="E327">
        <f t="shared" si="84"/>
        <v>0.14142489432031691</v>
      </c>
      <c r="F327">
        <f t="shared" si="77"/>
        <v>0.15248111769577408</v>
      </c>
      <c r="G327" s="22">
        <f t="shared" si="85"/>
        <v>1.3020093615811395E-18</v>
      </c>
      <c r="H327" s="21">
        <v>3.0550254711348703E-5</v>
      </c>
      <c r="I327">
        <f t="shared" si="78"/>
        <v>3.5290076776105135E-2</v>
      </c>
      <c r="J327" s="22">
        <f t="shared" si="86"/>
        <v>3.0550254711348703E-5</v>
      </c>
      <c r="K327">
        <f t="shared" si="87"/>
        <v>3.4674642827289159E-2</v>
      </c>
      <c r="L327">
        <v>1.7178634761037537E-2</v>
      </c>
      <c r="M327">
        <f t="shared" si="79"/>
        <v>3.4674642827289159E-2</v>
      </c>
      <c r="N327">
        <f t="shared" si="80"/>
        <v>3.0550254711348703E-5</v>
      </c>
      <c r="O327">
        <v>1.3020093615811395E-18</v>
      </c>
      <c r="P327">
        <f t="shared" si="81"/>
        <v>3.0550254711347402E-5</v>
      </c>
      <c r="Q327">
        <f t="shared" si="82"/>
        <v>0.99996944974528867</v>
      </c>
      <c r="R327">
        <f t="shared" si="83"/>
        <v>1</v>
      </c>
      <c r="S327">
        <v>3.1248224677947347E-15</v>
      </c>
      <c r="T327">
        <v>3.2077767446914769E-2</v>
      </c>
      <c r="U327">
        <f t="shared" si="88"/>
        <v>3.2653886742166002E-2</v>
      </c>
      <c r="V327">
        <v>1.5275127355674718E-5</v>
      </c>
      <c r="W327">
        <f t="shared" si="89"/>
        <v>1.5549469877221397E-5</v>
      </c>
    </row>
    <row r="328" spans="1:23">
      <c r="A328">
        <v>325</v>
      </c>
      <c r="B328">
        <f t="shared" si="75"/>
        <v>92.083333333333329</v>
      </c>
      <c r="C328">
        <f t="shared" si="76"/>
        <v>0.39388144856520846</v>
      </c>
      <c r="D328" s="21">
        <v>1.1177675787123E-18</v>
      </c>
      <c r="E328">
        <f t="shared" si="84"/>
        <v>0.14150572822694585</v>
      </c>
      <c r="F328">
        <f t="shared" si="77"/>
        <v>0.15257527103372315</v>
      </c>
      <c r="G328" s="22">
        <f t="shared" si="85"/>
        <v>1.1177675787122994E-18</v>
      </c>
      <c r="H328" s="21">
        <v>2.9490614277399401E-5</v>
      </c>
      <c r="I328">
        <f t="shared" si="78"/>
        <v>3.530097047257702E-2</v>
      </c>
      <c r="J328" s="22">
        <f t="shared" si="86"/>
        <v>2.9490614277399401E-5</v>
      </c>
      <c r="K328">
        <f t="shared" si="87"/>
        <v>3.4685158731448174E-2</v>
      </c>
      <c r="L328">
        <v>1.7178634761037537E-2</v>
      </c>
      <c r="M328">
        <f t="shared" si="79"/>
        <v>3.4685158731448174E-2</v>
      </c>
      <c r="N328">
        <f t="shared" si="80"/>
        <v>2.9490614277399401E-5</v>
      </c>
      <c r="O328">
        <v>1.1177675787122994E-18</v>
      </c>
      <c r="P328">
        <f t="shared" si="81"/>
        <v>2.9490614277398283E-5</v>
      </c>
      <c r="Q328">
        <f t="shared" si="82"/>
        <v>0.99997050938572263</v>
      </c>
      <c r="R328">
        <f t="shared" si="83"/>
        <v>1</v>
      </c>
      <c r="S328">
        <v>2.6826421889095187E-15</v>
      </c>
      <c r="T328">
        <v>3.0965144991268196E-2</v>
      </c>
      <c r="U328">
        <f t="shared" si="88"/>
        <v>3.1521456219094385E-2</v>
      </c>
      <c r="V328">
        <v>1.4745307138700014E-5</v>
      </c>
      <c r="W328">
        <f t="shared" si="89"/>
        <v>1.5010217247187366E-5</v>
      </c>
    </row>
    <row r="329" spans="1:23">
      <c r="A329">
        <v>326</v>
      </c>
      <c r="B329">
        <f t="shared" si="75"/>
        <v>92.166666666666671</v>
      </c>
      <c r="C329">
        <f t="shared" si="76"/>
        <v>0.392753891919983</v>
      </c>
      <c r="D329" s="21">
        <v>9.5950694093116395E-19</v>
      </c>
      <c r="E329">
        <f t="shared" si="84"/>
        <v>0.14158635551360044</v>
      </c>
      <c r="F329">
        <f t="shared" si="77"/>
        <v>0.15266919253755024</v>
      </c>
      <c r="G329" s="22">
        <f t="shared" si="85"/>
        <v>9.5950694093116337E-19</v>
      </c>
      <c r="H329" s="21">
        <v>2.8467418381920699E-5</v>
      </c>
      <c r="I329">
        <f t="shared" si="78"/>
        <v>3.5311833997158981E-2</v>
      </c>
      <c r="J329" s="22">
        <f t="shared" si="86"/>
        <v>2.8467418381920699E-5</v>
      </c>
      <c r="K329">
        <f t="shared" si="87"/>
        <v>3.4695645395994457E-2</v>
      </c>
      <c r="L329">
        <v>1.7178634761037537E-2</v>
      </c>
      <c r="M329">
        <f t="shared" si="79"/>
        <v>3.4695645395994457E-2</v>
      </c>
      <c r="N329">
        <f t="shared" si="80"/>
        <v>2.8467418381920699E-5</v>
      </c>
      <c r="O329">
        <v>9.5950694093116337E-19</v>
      </c>
      <c r="P329">
        <f t="shared" si="81"/>
        <v>2.846741838191974E-5</v>
      </c>
      <c r="Q329">
        <f t="shared" si="82"/>
        <v>0.99997153258161808</v>
      </c>
      <c r="R329">
        <f t="shared" si="83"/>
        <v>1</v>
      </c>
      <c r="S329">
        <v>2.302816658234792E-15</v>
      </c>
      <c r="T329">
        <v>2.9890789301015727E-2</v>
      </c>
      <c r="U329">
        <f t="shared" si="88"/>
        <v>3.0427967146144454E-2</v>
      </c>
      <c r="V329">
        <v>1.4233709190960619E-5</v>
      </c>
      <c r="W329">
        <f t="shared" si="89"/>
        <v>1.4489508164830317E-5</v>
      </c>
    </row>
    <row r="330" spans="1:23">
      <c r="A330">
        <v>327</v>
      </c>
      <c r="B330">
        <f t="shared" si="75"/>
        <v>92.25</v>
      </c>
      <c r="C330">
        <f t="shared" si="76"/>
        <v>0.39162956310890118</v>
      </c>
      <c r="D330" s="21">
        <v>8.2357668477780204E-19</v>
      </c>
      <c r="E330">
        <f t="shared" si="84"/>
        <v>0.14166677733612532</v>
      </c>
      <c r="F330">
        <f t="shared" si="77"/>
        <v>0.15276288348771017</v>
      </c>
      <c r="G330" s="22">
        <f t="shared" si="85"/>
        <v>8.2357668477780155E-19</v>
      </c>
      <c r="H330" s="21">
        <v>2.7479425227651599E-5</v>
      </c>
      <c r="I330">
        <f t="shared" si="78"/>
        <v>3.5322667525718131E-2</v>
      </c>
      <c r="J330" s="22">
        <f t="shared" si="86"/>
        <v>2.7479425227651599E-5</v>
      </c>
      <c r="K330">
        <f t="shared" si="87"/>
        <v>3.4706102991641896E-2</v>
      </c>
      <c r="L330">
        <v>1.7178634761037537E-2</v>
      </c>
      <c r="M330">
        <f t="shared" si="79"/>
        <v>3.4706102991641896E-2</v>
      </c>
      <c r="N330">
        <f t="shared" si="80"/>
        <v>2.7479425227651599E-5</v>
      </c>
      <c r="O330">
        <v>8.2357668477780155E-19</v>
      </c>
      <c r="P330">
        <f t="shared" si="81"/>
        <v>2.7479425227650775E-5</v>
      </c>
      <c r="Q330">
        <f t="shared" si="82"/>
        <v>0.99997252057477237</v>
      </c>
      <c r="R330">
        <f t="shared" si="83"/>
        <v>1</v>
      </c>
      <c r="S330">
        <v>1.9765840434667237E-15</v>
      </c>
      <c r="T330">
        <v>2.8853396489033314E-2</v>
      </c>
      <c r="U330">
        <f t="shared" si="88"/>
        <v>2.9372092895026659E-2</v>
      </c>
      <c r="V330">
        <v>1.373971261382603E-5</v>
      </c>
      <c r="W330">
        <f t="shared" si="89"/>
        <v>1.3986710902393323E-5</v>
      </c>
    </row>
    <row r="331" spans="1:23">
      <c r="A331">
        <v>328</v>
      </c>
      <c r="B331">
        <f t="shared" si="75"/>
        <v>92.333333333333329</v>
      </c>
      <c r="C331">
        <f t="shared" si="76"/>
        <v>0.39050845289170583</v>
      </c>
      <c r="D331" s="21">
        <v>7.0683716468991698E-19</v>
      </c>
      <c r="E331">
        <f t="shared" si="84"/>
        <v>0.14174699484041486</v>
      </c>
      <c r="F331">
        <f t="shared" si="77"/>
        <v>0.15285634515371649</v>
      </c>
      <c r="G331" s="22">
        <f t="shared" si="85"/>
        <v>7.0683716468991649E-19</v>
      </c>
      <c r="H331" s="21">
        <v>2.6525434890978699E-5</v>
      </c>
      <c r="I331">
        <f t="shared" si="78"/>
        <v>3.5333471232577143E-2</v>
      </c>
      <c r="J331" s="22">
        <f t="shared" si="86"/>
        <v>2.6525434890978699E-5</v>
      </c>
      <c r="K331">
        <f t="shared" si="87"/>
        <v>3.471653168760358E-2</v>
      </c>
      <c r="L331">
        <v>1.7178634761037537E-2</v>
      </c>
      <c r="M331">
        <f t="shared" si="79"/>
        <v>3.471653168760358E-2</v>
      </c>
      <c r="N331">
        <f t="shared" si="80"/>
        <v>2.6525434890978699E-5</v>
      </c>
      <c r="O331">
        <v>7.0683716468991649E-19</v>
      </c>
      <c r="P331">
        <f t="shared" si="81"/>
        <v>2.652543489097799E-5</v>
      </c>
      <c r="Q331">
        <f t="shared" si="82"/>
        <v>0.99997347456510899</v>
      </c>
      <c r="R331">
        <f t="shared" si="83"/>
        <v>1</v>
      </c>
      <c r="S331">
        <v>1.6964091952557996E-15</v>
      </c>
      <c r="T331">
        <v>2.7851706635526888E-2</v>
      </c>
      <c r="U331">
        <f t="shared" si="88"/>
        <v>2.835255156228194E-2</v>
      </c>
      <c r="V331">
        <v>1.3262717445489546E-5</v>
      </c>
      <c r="W331">
        <f t="shared" si="89"/>
        <v>1.3501215029657788E-5</v>
      </c>
    </row>
    <row r="332" spans="1:23">
      <c r="A332">
        <v>329</v>
      </c>
      <c r="B332">
        <f t="shared" si="75"/>
        <v>92.416666666666671</v>
      </c>
      <c r="C332">
        <f t="shared" si="76"/>
        <v>0.38939055205459167</v>
      </c>
      <c r="D332" s="21">
        <v>6.0658856365705702E-19</v>
      </c>
      <c r="E332">
        <f t="shared" si="84"/>
        <v>0.14182700916248248</v>
      </c>
      <c r="F332">
        <f t="shared" si="77"/>
        <v>0.15294957879421386</v>
      </c>
      <c r="G332" s="22">
        <f t="shared" si="85"/>
        <v>6.0658856365705654E-19</v>
      </c>
      <c r="H332" s="21">
        <v>2.56042879264914E-5</v>
      </c>
      <c r="I332">
        <f t="shared" si="78"/>
        <v>3.5344245290495971E-2</v>
      </c>
      <c r="J332" s="22">
        <f t="shared" si="86"/>
        <v>2.56042879264914E-5</v>
      </c>
      <c r="K332">
        <f t="shared" si="87"/>
        <v>3.4726931651574255E-2</v>
      </c>
      <c r="L332">
        <v>1.7178634761037537E-2</v>
      </c>
      <c r="M332">
        <f t="shared" si="79"/>
        <v>3.4726931651574255E-2</v>
      </c>
      <c r="N332">
        <f t="shared" si="80"/>
        <v>2.56042879264914E-5</v>
      </c>
      <c r="O332">
        <v>6.0658856365705654E-19</v>
      </c>
      <c r="P332">
        <f t="shared" si="81"/>
        <v>2.5604287926490793E-5</v>
      </c>
      <c r="Q332">
        <f t="shared" si="82"/>
        <v>0.99997439571207347</v>
      </c>
      <c r="R332">
        <f t="shared" si="83"/>
        <v>1</v>
      </c>
      <c r="S332">
        <v>1.4558125527769358E-15</v>
      </c>
      <c r="T332">
        <v>2.6884502322815331E-2</v>
      </c>
      <c r="U332">
        <f t="shared" si="88"/>
        <v>2.7368104479172685E-2</v>
      </c>
      <c r="V332">
        <v>1.2802143963245869E-5</v>
      </c>
      <c r="W332">
        <f t="shared" si="89"/>
        <v>1.3032430704367708E-5</v>
      </c>
    </row>
    <row r="333" spans="1:23">
      <c r="A333">
        <v>330</v>
      </c>
      <c r="B333">
        <f t="shared" si="75"/>
        <v>92.5</v>
      </c>
      <c r="C333">
        <f t="shared" si="76"/>
        <v>0.38827585141012999</v>
      </c>
      <c r="D333" s="21">
        <v>5.2050950867352895E-19</v>
      </c>
      <c r="E333">
        <f t="shared" si="84"/>
        <v>0.14190682142862487</v>
      </c>
      <c r="F333">
        <f t="shared" si="77"/>
        <v>0.1530425856571615</v>
      </c>
      <c r="G333" s="22">
        <f t="shared" si="85"/>
        <v>5.2050950867352857E-19</v>
      </c>
      <c r="H333" s="21">
        <v>2.47148640174145E-5</v>
      </c>
      <c r="I333">
        <f t="shared" si="78"/>
        <v>3.5354989870745181E-2</v>
      </c>
      <c r="J333" s="22">
        <f t="shared" si="86"/>
        <v>2.47148640174145E-5</v>
      </c>
      <c r="K333">
        <f t="shared" si="87"/>
        <v>3.4737303049801271E-2</v>
      </c>
      <c r="L333">
        <v>1.7178634761037537E-2</v>
      </c>
      <c r="M333">
        <f t="shared" si="79"/>
        <v>3.4737303049801271E-2</v>
      </c>
      <c r="N333">
        <f t="shared" si="80"/>
        <v>2.47148640174145E-5</v>
      </c>
      <c r="O333">
        <v>5.2050950867352857E-19</v>
      </c>
      <c r="P333">
        <f t="shared" si="81"/>
        <v>2.4714864017413979E-5</v>
      </c>
      <c r="Q333">
        <f t="shared" si="82"/>
        <v>0.99997528513598255</v>
      </c>
      <c r="R333">
        <f t="shared" si="83"/>
        <v>1</v>
      </c>
      <c r="S333">
        <v>1.2492228208164686E-15</v>
      </c>
      <c r="T333">
        <v>2.5950607218284679E-2</v>
      </c>
      <c r="U333">
        <f t="shared" si="88"/>
        <v>2.6417554770551358E-2</v>
      </c>
      <c r="V333">
        <v>1.2357432008707396E-5</v>
      </c>
      <c r="W333">
        <f t="shared" si="89"/>
        <v>1.2579787985976633E-5</v>
      </c>
    </row>
    <row r="334" spans="1:23">
      <c r="A334">
        <v>331</v>
      </c>
      <c r="B334">
        <f t="shared" si="75"/>
        <v>92.583333333333329</v>
      </c>
      <c r="C334">
        <f t="shared" si="76"/>
        <v>0.38716434179719228</v>
      </c>
      <c r="D334" s="21">
        <v>4.4660422032167199E-19</v>
      </c>
      <c r="E334">
        <f t="shared" si="84"/>
        <v>0.1419864327554704</v>
      </c>
      <c r="F334">
        <f t="shared" si="77"/>
        <v>0.15313536697988134</v>
      </c>
      <c r="G334" s="22">
        <f t="shared" si="85"/>
        <v>4.466042203216717E-19</v>
      </c>
      <c r="H334" s="21">
        <v>2.38560806704365E-5</v>
      </c>
      <c r="I334">
        <f t="shared" si="78"/>
        <v>3.5365705143066181E-2</v>
      </c>
      <c r="J334" s="22">
        <f t="shared" si="86"/>
        <v>2.38560806704365E-5</v>
      </c>
      <c r="K334">
        <f t="shared" si="87"/>
        <v>3.4747646047046277E-2</v>
      </c>
      <c r="L334">
        <v>1.7178634761037537E-2</v>
      </c>
      <c r="M334">
        <f t="shared" si="79"/>
        <v>3.4747646047046277E-2</v>
      </c>
      <c r="N334">
        <f t="shared" si="80"/>
        <v>2.38560806704365E-5</v>
      </c>
      <c r="O334">
        <v>4.466042203216717E-19</v>
      </c>
      <c r="P334">
        <f t="shared" si="81"/>
        <v>2.3856080670436053E-5</v>
      </c>
      <c r="Q334">
        <f t="shared" si="82"/>
        <v>0.99997614391932954</v>
      </c>
      <c r="R334">
        <f t="shared" si="83"/>
        <v>1</v>
      </c>
      <c r="S334">
        <v>1.071850128772012E-15</v>
      </c>
      <c r="T334">
        <v>2.5048884703957854E-2</v>
      </c>
      <c r="U334">
        <f t="shared" si="88"/>
        <v>2.5499745961122429E-2</v>
      </c>
      <c r="V334">
        <v>1.1928040335218376E-5</v>
      </c>
      <c r="W334">
        <f t="shared" si="89"/>
        <v>1.2142736171962886E-5</v>
      </c>
    </row>
    <row r="335" spans="1:23">
      <c r="A335">
        <v>332</v>
      </c>
      <c r="B335">
        <f t="shared" si="75"/>
        <v>92.666666666666671</v>
      </c>
      <c r="C335">
        <f t="shared" si="76"/>
        <v>0.3860560140808757</v>
      </c>
      <c r="D335" s="21">
        <v>3.8315701471598001E-19</v>
      </c>
      <c r="E335">
        <f t="shared" si="84"/>
        <v>0.14206584425018054</v>
      </c>
      <c r="F335">
        <f t="shared" si="77"/>
        <v>0.15322792398928517</v>
      </c>
      <c r="G335" s="22">
        <f t="shared" si="85"/>
        <v>3.8315701471597977E-19</v>
      </c>
      <c r="H335" s="21">
        <v>2.3026891953493801E-5</v>
      </c>
      <c r="I335">
        <f t="shared" si="78"/>
        <v>3.5376391275711516E-2</v>
      </c>
      <c r="J335" s="22">
        <f t="shared" si="86"/>
        <v>2.3026891953493801E-5</v>
      </c>
      <c r="K335">
        <f t="shared" si="87"/>
        <v>3.47579608066243E-2</v>
      </c>
      <c r="L335">
        <v>1.7178634761037537E-2</v>
      </c>
      <c r="M335">
        <f t="shared" si="79"/>
        <v>3.47579608066243E-2</v>
      </c>
      <c r="N335">
        <f t="shared" si="80"/>
        <v>2.3026891953493801E-5</v>
      </c>
      <c r="O335">
        <v>3.8315701471597977E-19</v>
      </c>
      <c r="P335">
        <f t="shared" si="81"/>
        <v>2.3026891953493418E-5</v>
      </c>
      <c r="Q335">
        <f t="shared" si="82"/>
        <v>0.99997697310804645</v>
      </c>
      <c r="R335">
        <f t="shared" si="83"/>
        <v>1</v>
      </c>
      <c r="S335">
        <v>9.1957683531835155E-16</v>
      </c>
      <c r="T335">
        <v>2.4178236551168089E-2</v>
      </c>
      <c r="U335">
        <f t="shared" si="88"/>
        <v>2.4613560627563966E-2</v>
      </c>
      <c r="V335">
        <v>1.1513445976747007E-5</v>
      </c>
      <c r="W335">
        <f t="shared" si="89"/>
        <v>1.1720743155982691E-5</v>
      </c>
    </row>
    <row r="336" spans="1:23">
      <c r="A336">
        <v>333</v>
      </c>
      <c r="B336">
        <f t="shared" si="75"/>
        <v>92.75</v>
      </c>
      <c r="C336">
        <f t="shared" si="76"/>
        <v>0.3849508591524276</v>
      </c>
      <c r="D336" s="21">
        <v>3.28693139015223E-19</v>
      </c>
      <c r="E336">
        <f t="shared" si="84"/>
        <v>0.14214505701045055</v>
      </c>
      <c r="F336">
        <f t="shared" si="77"/>
        <v>0.15332025790186743</v>
      </c>
      <c r="G336" s="22">
        <f t="shared" si="85"/>
        <v>3.286931390152228E-19</v>
      </c>
      <c r="H336" s="21">
        <v>2.22262872751194E-5</v>
      </c>
      <c r="I336">
        <f t="shared" si="78"/>
        <v>3.5387048435469186E-2</v>
      </c>
      <c r="J336" s="22">
        <f t="shared" si="86"/>
        <v>2.22262872751194E-5</v>
      </c>
      <c r="K336">
        <f t="shared" si="87"/>
        <v>3.4768247490427284E-2</v>
      </c>
      <c r="L336">
        <v>1.7178634761037537E-2</v>
      </c>
      <c r="M336">
        <f t="shared" si="79"/>
        <v>3.4768247490427284E-2</v>
      </c>
      <c r="N336">
        <f t="shared" si="80"/>
        <v>2.22262872751194E-5</v>
      </c>
      <c r="O336">
        <v>3.286931390152228E-19</v>
      </c>
      <c r="P336">
        <f t="shared" si="81"/>
        <v>2.2226287275119071E-5</v>
      </c>
      <c r="Q336">
        <f t="shared" si="82"/>
        <v>0.99997777371272489</v>
      </c>
      <c r="R336">
        <f t="shared" si="83"/>
        <v>1</v>
      </c>
      <c r="S336">
        <v>7.888635336365347E-16</v>
      </c>
      <c r="T336">
        <v>2.3337601638875025E-2</v>
      </c>
      <c r="U336">
        <f t="shared" si="88"/>
        <v>2.3757919095022409E-2</v>
      </c>
      <c r="V336">
        <v>1.1113143637559792E-5</v>
      </c>
      <c r="W336">
        <f t="shared" si="89"/>
        <v>1.1313294807153399E-5</v>
      </c>
    </row>
    <row r="337" spans="1:23">
      <c r="A337">
        <v>334</v>
      </c>
      <c r="B337">
        <f t="shared" si="75"/>
        <v>92.833333333333329</v>
      </c>
      <c r="C337">
        <f t="shared" si="76"/>
        <v>0.38384886792917061</v>
      </c>
      <c r="D337" s="21">
        <v>2.81945062305022E-19</v>
      </c>
      <c r="E337">
        <f t="shared" si="84"/>
        <v>0.14222407212471788</v>
      </c>
      <c r="F337">
        <f t="shared" si="77"/>
        <v>0.15341236992394053</v>
      </c>
      <c r="G337" s="22">
        <f t="shared" si="85"/>
        <v>2.8194506230502181E-19</v>
      </c>
      <c r="H337" s="21">
        <v>2.14532902040084E-5</v>
      </c>
      <c r="I337">
        <f t="shared" si="78"/>
        <v>3.5397676787691103E-2</v>
      </c>
      <c r="J337" s="22">
        <f t="shared" si="86"/>
        <v>2.14532902040084E-5</v>
      </c>
      <c r="K337">
        <f t="shared" si="87"/>
        <v>3.4778506258951736E-2</v>
      </c>
      <c r="L337">
        <v>1.7178634761037537E-2</v>
      </c>
      <c r="M337">
        <f t="shared" si="79"/>
        <v>3.4778506258951736E-2</v>
      </c>
      <c r="N337">
        <f t="shared" si="80"/>
        <v>2.14532902040084E-5</v>
      </c>
      <c r="O337">
        <v>2.8194506230502181E-19</v>
      </c>
      <c r="P337">
        <f t="shared" si="81"/>
        <v>2.1453290204008118E-5</v>
      </c>
      <c r="Q337">
        <f t="shared" si="82"/>
        <v>0.99997854670979602</v>
      </c>
      <c r="R337">
        <f t="shared" si="83"/>
        <v>1</v>
      </c>
      <c r="S337">
        <v>6.7666814953205239E-16</v>
      </c>
      <c r="T337">
        <v>2.2525954714208523E-2</v>
      </c>
      <c r="U337">
        <f t="shared" si="88"/>
        <v>2.2931778176542506E-2</v>
      </c>
      <c r="V337">
        <v>1.0726645102004279E-5</v>
      </c>
      <c r="W337">
        <f t="shared" si="89"/>
        <v>1.0919894369782036E-5</v>
      </c>
    </row>
    <row r="338" spans="1:23">
      <c r="A338">
        <v>335</v>
      </c>
      <c r="B338">
        <f t="shared" si="75"/>
        <v>92.916666666666671</v>
      </c>
      <c r="C338">
        <f t="shared" si="76"/>
        <v>0.3827500313544287</v>
      </c>
      <c r="D338" s="21">
        <v>2.4182346492825601E-19</v>
      </c>
      <c r="E338">
        <f t="shared" si="84"/>
        <v>0.14230289067222779</v>
      </c>
      <c r="F338">
        <f t="shared" si="77"/>
        <v>0.15350426125170383</v>
      </c>
      <c r="G338" s="22">
        <f t="shared" si="85"/>
        <v>2.4182346492825582E-19</v>
      </c>
      <c r="H338" s="21">
        <v>2.0706957327496899E-5</v>
      </c>
      <c r="I338">
        <f t="shared" si="78"/>
        <v>3.5408276496260459E-2</v>
      </c>
      <c r="J338" s="22">
        <f t="shared" si="86"/>
        <v>2.0706957327496899E-5</v>
      </c>
      <c r="K338">
        <f t="shared" si="87"/>
        <v>3.47887372712673E-2</v>
      </c>
      <c r="L338">
        <v>1.7178634761037537E-2</v>
      </c>
      <c r="M338">
        <f t="shared" si="79"/>
        <v>3.47887372712673E-2</v>
      </c>
      <c r="N338">
        <f t="shared" si="80"/>
        <v>2.0706957327496899E-5</v>
      </c>
      <c r="O338">
        <v>2.4182346492825582E-19</v>
      </c>
      <c r="P338">
        <f t="shared" si="81"/>
        <v>2.0706957327496659E-5</v>
      </c>
      <c r="Q338">
        <f t="shared" si="82"/>
        <v>0.99997929304267252</v>
      </c>
      <c r="R338">
        <f t="shared" si="83"/>
        <v>1</v>
      </c>
      <c r="S338">
        <v>5.8037631582781392E-16</v>
      </c>
      <c r="T338">
        <v>2.1742305193871492E-2</v>
      </c>
      <c r="U338">
        <f t="shared" si="88"/>
        <v>2.2134129954040634E-2</v>
      </c>
      <c r="V338">
        <v>1.0353478663748517E-5</v>
      </c>
      <c r="W338">
        <f t="shared" si="89"/>
        <v>1.0540061882876398E-5</v>
      </c>
    </row>
    <row r="339" spans="1:23">
      <c r="A339">
        <v>336</v>
      </c>
      <c r="B339">
        <f t="shared" si="75"/>
        <v>93</v>
      </c>
      <c r="C339">
        <f t="shared" si="76"/>
        <v>0.38165434039745166</v>
      </c>
      <c r="D339" s="21">
        <v>2.0739227393800801E-19</v>
      </c>
      <c r="E339">
        <f t="shared" si="84"/>
        <v>0.14238151372309149</v>
      </c>
      <c r="F339">
        <f t="shared" si="77"/>
        <v>0.15359593307130393</v>
      </c>
      <c r="G339" s="22">
        <f t="shared" si="85"/>
        <v>2.0739227393800784E-19</v>
      </c>
      <c r="H339" s="21">
        <v>1.9986377147688701E-5</v>
      </c>
      <c r="I339">
        <f t="shared" si="78"/>
        <v>3.5418847723664618E-2</v>
      </c>
      <c r="J339" s="22">
        <f t="shared" si="86"/>
        <v>1.9986377147688701E-5</v>
      </c>
      <c r="K339">
        <f t="shared" si="87"/>
        <v>3.4798940685087265E-2</v>
      </c>
      <c r="L339">
        <v>1.9141780325788282E-2</v>
      </c>
      <c r="M339">
        <f t="shared" si="79"/>
        <v>3.4798940685087265E-2</v>
      </c>
      <c r="N339">
        <f t="shared" si="80"/>
        <v>1.9986377147688701E-5</v>
      </c>
      <c r="O339">
        <v>2.0739227393800784E-19</v>
      </c>
      <c r="P339">
        <f t="shared" si="81"/>
        <v>1.9986377147688495E-5</v>
      </c>
      <c r="Q339">
        <f t="shared" si="82"/>
        <v>0.99998001362285227</v>
      </c>
      <c r="R339">
        <f t="shared" si="83"/>
        <v>1</v>
      </c>
      <c r="S339">
        <v>4.9774145745121883E-16</v>
      </c>
      <c r="T339">
        <v>2.0985696005072919E-2</v>
      </c>
      <c r="U339">
        <f t="shared" si="88"/>
        <v>2.1364000599472743E-2</v>
      </c>
      <c r="V339">
        <v>9.9931885738444082E-6</v>
      </c>
      <c r="W339">
        <f t="shared" si="89"/>
        <v>1.0173333618796464E-5</v>
      </c>
    </row>
    <row r="340" spans="1:23">
      <c r="A340">
        <v>337</v>
      </c>
      <c r="B340">
        <f t="shared" si="75"/>
        <v>93.083333333333329</v>
      </c>
      <c r="C340">
        <f t="shared" si="76"/>
        <v>0.38056178605334157</v>
      </c>
      <c r="D340" s="21">
        <v>1.77847182551354E-19</v>
      </c>
      <c r="E340">
        <f t="shared" si="84"/>
        <v>0.14245994233847581</v>
      </c>
      <c r="F340">
        <f t="shared" si="77"/>
        <v>0.15368738655904846</v>
      </c>
      <c r="G340" s="22">
        <f t="shared" si="85"/>
        <v>1.7784718255135385E-19</v>
      </c>
      <c r="H340" s="21">
        <v>1.9290669014008698E-5</v>
      </c>
      <c r="I340">
        <f t="shared" si="78"/>
        <v>3.5429390630991556E-2</v>
      </c>
      <c r="J340" s="22">
        <f t="shared" si="86"/>
        <v>1.9290669014008698E-5</v>
      </c>
      <c r="K340">
        <f t="shared" si="87"/>
        <v>3.4809116656765227E-2</v>
      </c>
      <c r="L340">
        <v>1.9141780325788282E-2</v>
      </c>
      <c r="M340">
        <f t="shared" si="79"/>
        <v>3.4809116656765227E-2</v>
      </c>
      <c r="N340">
        <f t="shared" si="80"/>
        <v>1.9290669014008698E-5</v>
      </c>
      <c r="O340">
        <v>1.7784718255135385E-19</v>
      </c>
      <c r="P340">
        <f t="shared" si="81"/>
        <v>1.9290669014008522E-5</v>
      </c>
      <c r="Q340">
        <f t="shared" si="82"/>
        <v>0.99998070933098604</v>
      </c>
      <c r="R340">
        <f t="shared" si="83"/>
        <v>1</v>
      </c>
      <c r="S340">
        <v>4.2683323812324926E-16</v>
      </c>
      <c r="T340">
        <v>2.0255202464708948E-2</v>
      </c>
      <c r="U340">
        <f t="shared" si="88"/>
        <v>2.0620449234891397E-2</v>
      </c>
      <c r="V340">
        <v>9.6453345070044E-6</v>
      </c>
      <c r="W340">
        <f t="shared" si="89"/>
        <v>9.8192615404244041E-6</v>
      </c>
    </row>
    <row r="341" spans="1:23">
      <c r="A341">
        <v>338</v>
      </c>
      <c r="B341">
        <f t="shared" si="75"/>
        <v>93.166666666666671</v>
      </c>
      <c r="C341">
        <f t="shared" si="76"/>
        <v>0.37947235934297896</v>
      </c>
      <c r="D341" s="21">
        <v>1.5249716926440901E-19</v>
      </c>
      <c r="E341">
        <f t="shared" si="84"/>
        <v>0.14253817757065168</v>
      </c>
      <c r="F341">
        <f t="shared" si="77"/>
        <v>0.15377862288145527</v>
      </c>
      <c r="G341" s="22">
        <f t="shared" si="85"/>
        <v>1.5249716926440886E-19</v>
      </c>
      <c r="H341" s="21">
        <v>1.8618982090999199E-5</v>
      </c>
      <c r="I341">
        <f t="shared" si="78"/>
        <v>3.543990537790994E-2</v>
      </c>
      <c r="J341" s="22">
        <f t="shared" si="86"/>
        <v>1.8618982090999199E-5</v>
      </c>
      <c r="K341">
        <f t="shared" si="87"/>
        <v>3.4819265341275996E-2</v>
      </c>
      <c r="L341">
        <v>1.9141780325788282E-2</v>
      </c>
      <c r="M341">
        <f t="shared" si="79"/>
        <v>3.4819265341275996E-2</v>
      </c>
      <c r="N341">
        <f t="shared" si="80"/>
        <v>1.8618982090999199E-5</v>
      </c>
      <c r="O341">
        <v>1.5249716926440886E-19</v>
      </c>
      <c r="P341">
        <f t="shared" si="81"/>
        <v>1.8618982090999047E-5</v>
      </c>
      <c r="Q341">
        <f t="shared" si="82"/>
        <v>0.99998138101790901</v>
      </c>
      <c r="R341">
        <f t="shared" si="83"/>
        <v>1</v>
      </c>
      <c r="S341">
        <v>3.6599320623458129E-16</v>
      </c>
      <c r="T341">
        <v>1.9549931195549E-2</v>
      </c>
      <c r="U341">
        <f t="shared" si="88"/>
        <v>1.9902566830129372E-2</v>
      </c>
      <c r="V341">
        <v>9.3094910454996419E-6</v>
      </c>
      <c r="W341">
        <f t="shared" si="89"/>
        <v>9.477412776252021E-6</v>
      </c>
    </row>
    <row r="342" spans="1:23">
      <c r="A342">
        <v>339</v>
      </c>
      <c r="B342">
        <f t="shared" si="75"/>
        <v>93.25</v>
      </c>
      <c r="C342">
        <f t="shared" si="76"/>
        <v>0.37838605131294806</v>
      </c>
      <c r="D342" s="21">
        <v>1.3074859935259701E-19</v>
      </c>
      <c r="E342">
        <f t="shared" si="84"/>
        <v>0.14261622046310241</v>
      </c>
      <c r="F342">
        <f t="shared" si="77"/>
        <v>0.15386964319537172</v>
      </c>
      <c r="G342" s="22">
        <f t="shared" si="85"/>
        <v>1.3074859935259689E-19</v>
      </c>
      <c r="H342" s="21">
        <v>1.7970494360210699E-5</v>
      </c>
      <c r="I342">
        <f t="shared" si="78"/>
        <v>3.5450392122772324E-2</v>
      </c>
      <c r="J342" s="22">
        <f t="shared" si="86"/>
        <v>1.7970494360210699E-5</v>
      </c>
      <c r="K342">
        <f t="shared" si="87"/>
        <v>3.4829386892315295E-2</v>
      </c>
      <c r="L342">
        <v>1.9141780325788282E-2</v>
      </c>
      <c r="M342">
        <f t="shared" si="79"/>
        <v>3.4829386892315295E-2</v>
      </c>
      <c r="N342">
        <f t="shared" si="80"/>
        <v>1.7970494360210699E-5</v>
      </c>
      <c r="O342">
        <v>1.3074859935259689E-19</v>
      </c>
      <c r="P342">
        <f t="shared" si="81"/>
        <v>1.7970494360210566E-5</v>
      </c>
      <c r="Q342">
        <f t="shared" si="82"/>
        <v>0.99998202950563975</v>
      </c>
      <c r="R342">
        <f t="shared" si="83"/>
        <v>1</v>
      </c>
      <c r="S342">
        <v>3.1379663844623255E-16</v>
      </c>
      <c r="T342">
        <v>1.8869019078221094E-2</v>
      </c>
      <c r="U342">
        <f t="shared" si="88"/>
        <v>1.9209475136885385E-2</v>
      </c>
      <c r="V342">
        <v>8.9852471801053849E-6</v>
      </c>
      <c r="W342">
        <f t="shared" si="89"/>
        <v>9.1473691128025134E-6</v>
      </c>
    </row>
    <row r="343" spans="1:23">
      <c r="A343">
        <v>340</v>
      </c>
      <c r="B343">
        <f t="shared" si="75"/>
        <v>93.333333333333329</v>
      </c>
      <c r="C343">
        <f t="shared" si="76"/>
        <v>0.37730285303546462</v>
      </c>
      <c r="D343" s="21">
        <v>1.1209154929605801E-19</v>
      </c>
      <c r="E343">
        <f t="shared" si="84"/>
        <v>0.14269407205063434</v>
      </c>
      <c r="F343">
        <f t="shared" si="77"/>
        <v>0.15396044864809652</v>
      </c>
      <c r="G343" s="22">
        <f t="shared" si="85"/>
        <v>1.1209154929605791E-19</v>
      </c>
      <c r="H343" s="21">
        <v>1.7344411655081302E-5</v>
      </c>
      <c r="I343">
        <f t="shared" si="78"/>
        <v>3.5460851022527023E-2</v>
      </c>
      <c r="J343" s="22">
        <f t="shared" si="86"/>
        <v>1.7344411655081302E-5</v>
      </c>
      <c r="K343">
        <f t="shared" si="87"/>
        <v>3.4839481462214827E-2</v>
      </c>
      <c r="L343">
        <v>1.9141780325788282E-2</v>
      </c>
      <c r="M343">
        <f t="shared" si="79"/>
        <v>3.4839481462214827E-2</v>
      </c>
      <c r="N343">
        <f t="shared" si="80"/>
        <v>1.7344411655081302E-5</v>
      </c>
      <c r="O343">
        <v>1.1209154929605791E-19</v>
      </c>
      <c r="P343">
        <f t="shared" si="81"/>
        <v>1.734441165508119E-5</v>
      </c>
      <c r="Q343">
        <f t="shared" si="82"/>
        <v>0.99998265558834487</v>
      </c>
      <c r="R343">
        <f t="shared" si="83"/>
        <v>1</v>
      </c>
      <c r="S343">
        <v>2.6901971831053898E-16</v>
      </c>
      <c r="T343">
        <v>1.821163223783525E-2</v>
      </c>
      <c r="U343">
        <f t="shared" si="88"/>
        <v>1.8540325658028461E-2</v>
      </c>
      <c r="V343">
        <v>8.672205827540683E-6</v>
      </c>
      <c r="W343">
        <f t="shared" si="89"/>
        <v>8.8287265038230339E-6</v>
      </c>
    </row>
    <row r="344" spans="1:23">
      <c r="A344">
        <v>341</v>
      </c>
      <c r="B344">
        <f t="shared" si="75"/>
        <v>93.416666666666671</v>
      </c>
      <c r="C344">
        <f t="shared" si="76"/>
        <v>0.37622275560830126</v>
      </c>
      <c r="D344" s="21">
        <v>9.6088044508115405E-20</v>
      </c>
      <c r="E344">
        <f t="shared" si="84"/>
        <v>0.14277173335943361</v>
      </c>
      <c r="F344">
        <f t="shared" si="77"/>
        <v>0.15405104037743902</v>
      </c>
      <c r="G344" s="22">
        <f t="shared" si="85"/>
        <v>9.608804450811532E-20</v>
      </c>
      <c r="H344" s="21">
        <v>1.67399667277274E-5</v>
      </c>
      <c r="I344">
        <f t="shared" si="78"/>
        <v>3.5471282232801854E-2</v>
      </c>
      <c r="J344" s="22">
        <f t="shared" si="86"/>
        <v>1.67399667277274E-5</v>
      </c>
      <c r="K344">
        <f t="shared" si="87"/>
        <v>3.4849549202023211E-2</v>
      </c>
      <c r="L344">
        <v>1.9141780325788282E-2</v>
      </c>
      <c r="M344">
        <f t="shared" si="79"/>
        <v>3.4849549202023211E-2</v>
      </c>
      <c r="N344">
        <f t="shared" si="80"/>
        <v>1.67399667277274E-5</v>
      </c>
      <c r="O344">
        <v>9.608804450811532E-20</v>
      </c>
      <c r="P344">
        <f t="shared" si="81"/>
        <v>1.6739966727727306E-5</v>
      </c>
      <c r="Q344">
        <f t="shared" si="82"/>
        <v>0.99998326003327231</v>
      </c>
      <c r="R344">
        <f t="shared" si="83"/>
        <v>1</v>
      </c>
      <c r="S344">
        <v>2.3061130681947679E-16</v>
      </c>
      <c r="T344">
        <v>1.7576965064113669E-2</v>
      </c>
      <c r="U344">
        <f t="shared" si="88"/>
        <v>1.7894298650974708E-2</v>
      </c>
      <c r="V344">
        <v>8.3699833638637273E-6</v>
      </c>
      <c r="W344">
        <f t="shared" si="89"/>
        <v>8.5210945957022043E-6</v>
      </c>
    </row>
    <row r="345" spans="1:23">
      <c r="A345">
        <v>342</v>
      </c>
      <c r="B345">
        <f t="shared" si="75"/>
        <v>93.5</v>
      </c>
      <c r="C345">
        <f t="shared" si="76"/>
        <v>0.37514575015471507</v>
      </c>
      <c r="D345" s="21">
        <v>8.2361943700993197E-20</v>
      </c>
      <c r="E345">
        <f t="shared" si="84"/>
        <v>0.14284920540726509</v>
      </c>
      <c r="F345">
        <f t="shared" si="77"/>
        <v>0.15414141951194443</v>
      </c>
      <c r="G345" s="22">
        <f t="shared" si="85"/>
        <v>8.2361943700993125E-20</v>
      </c>
      <c r="H345" s="21">
        <v>1.6156418346607399E-5</v>
      </c>
      <c r="I345">
        <f t="shared" si="78"/>
        <v>3.5481685907915186E-2</v>
      </c>
      <c r="J345" s="22">
        <f t="shared" si="86"/>
        <v>1.6156418346607399E-5</v>
      </c>
      <c r="K345">
        <f t="shared" si="87"/>
        <v>3.4859590261516749E-2</v>
      </c>
      <c r="L345">
        <v>1.9141780325788282E-2</v>
      </c>
      <c r="M345">
        <f t="shared" si="79"/>
        <v>3.4859590261516749E-2</v>
      </c>
      <c r="N345">
        <f t="shared" si="80"/>
        <v>1.6156418346607399E-5</v>
      </c>
      <c r="O345">
        <v>8.2361943700993125E-20</v>
      </c>
      <c r="P345">
        <f t="shared" si="81"/>
        <v>1.6156418346607318E-5</v>
      </c>
      <c r="Q345">
        <f t="shared" si="82"/>
        <v>0.99998384358165338</v>
      </c>
      <c r="R345">
        <f t="shared" si="83"/>
        <v>1</v>
      </c>
      <c r="S345">
        <v>1.9766866488238351E-16</v>
      </c>
      <c r="T345">
        <v>1.6964239263937683E-2</v>
      </c>
      <c r="U345">
        <f t="shared" si="88"/>
        <v>1.727060216402589E-2</v>
      </c>
      <c r="V345">
        <v>8.0782091733037233E-6</v>
      </c>
      <c r="W345">
        <f t="shared" si="89"/>
        <v>8.2240962685837262E-6</v>
      </c>
    </row>
    <row r="346" spans="1:23">
      <c r="A346">
        <v>343</v>
      </c>
      <c r="B346">
        <f t="shared" si="75"/>
        <v>93.583333333333329</v>
      </c>
      <c r="C346">
        <f t="shared" si="76"/>
        <v>0.37407182782337423</v>
      </c>
      <c r="D346" s="21">
        <v>7.0590240243840901E-20</v>
      </c>
      <c r="E346">
        <f t="shared" si="84"/>
        <v>0.14292648920341522</v>
      </c>
      <c r="F346">
        <f t="shared" si="77"/>
        <v>0.15423158717082025</v>
      </c>
      <c r="G346" s="22">
        <f t="shared" si="85"/>
        <v>7.0590240243840841E-20</v>
      </c>
      <c r="H346" s="21">
        <v>1.5593050424052599E-5</v>
      </c>
      <c r="I346">
        <f t="shared" si="78"/>
        <v>3.549206220085202E-2</v>
      </c>
      <c r="J346" s="22">
        <f t="shared" si="86"/>
        <v>1.5593050424052599E-5</v>
      </c>
      <c r="K346">
        <f t="shared" si="87"/>
        <v>3.4869604789176445E-2</v>
      </c>
      <c r="L346">
        <v>1.9141780325788282E-2</v>
      </c>
      <c r="M346">
        <f t="shared" si="79"/>
        <v>3.4869604789176445E-2</v>
      </c>
      <c r="N346">
        <f t="shared" si="80"/>
        <v>1.5593050424052599E-5</v>
      </c>
      <c r="O346">
        <v>7.0590240243840841E-20</v>
      </c>
      <c r="P346">
        <f t="shared" si="81"/>
        <v>1.5593050424052528E-5</v>
      </c>
      <c r="Q346">
        <f t="shared" si="82"/>
        <v>0.99998440694957591</v>
      </c>
      <c r="R346">
        <f t="shared" si="83"/>
        <v>1</v>
      </c>
      <c r="S346">
        <v>1.6941657658521801E-16</v>
      </c>
      <c r="T346">
        <v>1.6372702945255155E-2</v>
      </c>
      <c r="U346">
        <f t="shared" si="88"/>
        <v>1.6668471104596603E-2</v>
      </c>
      <c r="V346">
        <v>7.7965252120263201E-6</v>
      </c>
      <c r="W346">
        <f t="shared" si="89"/>
        <v>7.9373671926650225E-6</v>
      </c>
    </row>
    <row r="347" spans="1:23">
      <c r="A347">
        <v>344</v>
      </c>
      <c r="B347">
        <f t="shared" si="75"/>
        <v>93.666666666666671</v>
      </c>
      <c r="C347">
        <f t="shared" si="76"/>
        <v>0.37300097978828578</v>
      </c>
      <c r="D347" s="21">
        <v>6.04955827700935E-20</v>
      </c>
      <c r="E347">
        <f t="shared" si="84"/>
        <v>0.14300358574892613</v>
      </c>
      <c r="F347">
        <f t="shared" si="77"/>
        <v>0.15432154446420285</v>
      </c>
      <c r="G347" s="22">
        <f t="shared" si="85"/>
        <v>6.0495582770093452E-20</v>
      </c>
      <c r="H347" s="21">
        <v>1.50491711726898E-5</v>
      </c>
      <c r="I347">
        <f t="shared" si="78"/>
        <v>3.5502411263314597E-2</v>
      </c>
      <c r="J347" s="22">
        <f t="shared" si="86"/>
        <v>1.50491711726898E-5</v>
      </c>
      <c r="K347">
        <f t="shared" si="87"/>
        <v>3.4879592932236969E-2</v>
      </c>
      <c r="L347">
        <v>1.9141780325788282E-2</v>
      </c>
      <c r="M347">
        <f t="shared" si="79"/>
        <v>3.4879592932236969E-2</v>
      </c>
      <c r="N347">
        <f t="shared" si="80"/>
        <v>1.50491711726898E-5</v>
      </c>
      <c r="O347">
        <v>6.0495582770093452E-20</v>
      </c>
      <c r="P347">
        <f t="shared" si="81"/>
        <v>1.5049171172689739E-5</v>
      </c>
      <c r="Q347">
        <f t="shared" si="82"/>
        <v>0.99998495082882732</v>
      </c>
      <c r="R347">
        <f t="shared" si="83"/>
        <v>1</v>
      </c>
      <c r="S347">
        <v>1.4518939864822428E-16</v>
      </c>
      <c r="T347">
        <v>1.5801629731324224E-2</v>
      </c>
      <c r="U347">
        <f t="shared" si="88"/>
        <v>1.6087166338289847E-2</v>
      </c>
      <c r="V347">
        <v>7.5245855863449168E-6</v>
      </c>
      <c r="W347">
        <f t="shared" si="89"/>
        <v>7.6605553991856176E-6</v>
      </c>
    </row>
    <row r="348" spans="1:23">
      <c r="A348">
        <v>345</v>
      </c>
      <c r="B348">
        <f t="shared" si="75"/>
        <v>93.75</v>
      </c>
      <c r="C348">
        <f t="shared" si="76"/>
        <v>0.37193319724872231</v>
      </c>
      <c r="D348" s="21">
        <v>5.1839844779325999E-20</v>
      </c>
      <c r="E348">
        <f t="shared" si="84"/>
        <v>0.1430804960365889</v>
      </c>
      <c r="F348">
        <f t="shared" si="77"/>
        <v>0.15441129249314292</v>
      </c>
      <c r="G348" s="22">
        <f t="shared" si="85"/>
        <v>5.1839844779325963E-20</v>
      </c>
      <c r="H348" s="21">
        <v>1.45241122898135E-5</v>
      </c>
      <c r="I348">
        <f t="shared" si="78"/>
        <v>3.5512733245726104E-2</v>
      </c>
      <c r="J348" s="22">
        <f t="shared" si="86"/>
        <v>1.45241122898135E-5</v>
      </c>
      <c r="K348">
        <f t="shared" si="87"/>
        <v>3.4889554836690317E-2</v>
      </c>
      <c r="L348">
        <v>1.9141780325788282E-2</v>
      </c>
      <c r="M348">
        <f t="shared" si="79"/>
        <v>3.4889554836690317E-2</v>
      </c>
      <c r="N348">
        <f t="shared" si="80"/>
        <v>1.45241122898135E-5</v>
      </c>
      <c r="O348">
        <v>5.1839844779325963E-20</v>
      </c>
      <c r="P348">
        <f t="shared" si="81"/>
        <v>1.4524112289813448E-5</v>
      </c>
      <c r="Q348">
        <f t="shared" si="82"/>
        <v>0.99998547588771014</v>
      </c>
      <c r="R348">
        <f t="shared" si="83"/>
        <v>1</v>
      </c>
      <c r="S348">
        <v>1.2441562747038232E-16</v>
      </c>
      <c r="T348">
        <v>1.5250317904304121E-2</v>
      </c>
      <c r="U348">
        <f t="shared" si="88"/>
        <v>1.5525973817814308E-2</v>
      </c>
      <c r="V348">
        <v>7.2620561449067645E-6</v>
      </c>
      <c r="W348">
        <f t="shared" si="89"/>
        <v>7.3933208656258411E-6</v>
      </c>
    </row>
    <row r="349" spans="1:23">
      <c r="A349">
        <v>346</v>
      </c>
      <c r="B349">
        <f t="shared" si="75"/>
        <v>93.833333333333329</v>
      </c>
      <c r="C349">
        <f t="shared" si="76"/>
        <v>0.37086847142915053</v>
      </c>
      <c r="D349" s="21">
        <v>4.4418596660995298E-20</v>
      </c>
      <c r="E349">
        <f t="shared" si="84"/>
        <v>0.14315722105113893</v>
      </c>
      <c r="F349">
        <f t="shared" si="77"/>
        <v>0.15450083234982703</v>
      </c>
      <c r="G349" s="22">
        <f t="shared" si="85"/>
        <v>4.4418596660995268E-20</v>
      </c>
      <c r="H349" s="21">
        <v>1.40172281687946E-5</v>
      </c>
      <c r="I349">
        <f t="shared" si="78"/>
        <v>3.5523028297260908E-2</v>
      </c>
      <c r="J349" s="22">
        <f t="shared" si="86"/>
        <v>1.40172281687946E-5</v>
      </c>
      <c r="K349">
        <f t="shared" si="87"/>
        <v>3.4899490647315123E-2</v>
      </c>
      <c r="L349">
        <v>1.9141780325788282E-2</v>
      </c>
      <c r="M349">
        <f t="shared" si="79"/>
        <v>3.4899490647315123E-2</v>
      </c>
      <c r="N349">
        <f t="shared" si="80"/>
        <v>1.40172281687946E-5</v>
      </c>
      <c r="O349">
        <v>4.4418596660995268E-20</v>
      </c>
      <c r="P349">
        <f t="shared" si="81"/>
        <v>1.4017228168794556E-5</v>
      </c>
      <c r="Q349">
        <f t="shared" si="82"/>
        <v>0.99998598277183115</v>
      </c>
      <c r="R349">
        <f t="shared" si="83"/>
        <v>1</v>
      </c>
      <c r="S349">
        <v>1.0660463198638864E-16</v>
      </c>
      <c r="T349">
        <v>1.4718089577234283E-2</v>
      </c>
      <c r="U349">
        <f t="shared" si="88"/>
        <v>1.4984203740769317E-2</v>
      </c>
      <c r="V349">
        <v>7.0086140843973126E-6</v>
      </c>
      <c r="W349">
        <f t="shared" si="89"/>
        <v>7.1353351146520386E-6</v>
      </c>
    </row>
    <row r="350" spans="1:23">
      <c r="A350">
        <v>347</v>
      </c>
      <c r="B350">
        <f t="shared" si="75"/>
        <v>93.916666666666671</v>
      </c>
      <c r="C350">
        <f t="shared" si="76"/>
        <v>0.36980679357915824</v>
      </c>
      <c r="D350" s="21">
        <v>3.80563539687327E-20</v>
      </c>
      <c r="E350">
        <f t="shared" si="84"/>
        <v>0.14323376176918678</v>
      </c>
      <c r="F350">
        <f t="shared" si="77"/>
        <v>0.15459016511749038</v>
      </c>
      <c r="G350" s="22">
        <f t="shared" si="85"/>
        <v>3.8056353968732676E-20</v>
      </c>
      <c r="H350" s="21">
        <v>1.35278951366432E-5</v>
      </c>
      <c r="I350">
        <f t="shared" si="78"/>
        <v>3.5533296565804673E-2</v>
      </c>
      <c r="J350" s="22">
        <f t="shared" si="86"/>
        <v>1.35278951366432E-5</v>
      </c>
      <c r="K350">
        <f t="shared" si="87"/>
        <v>3.4909400507638244E-2</v>
      </c>
      <c r="L350">
        <v>1.9141780325788282E-2</v>
      </c>
      <c r="M350">
        <f t="shared" si="79"/>
        <v>3.4909400507638244E-2</v>
      </c>
      <c r="N350">
        <f t="shared" si="80"/>
        <v>1.35278951366432E-5</v>
      </c>
      <c r="O350">
        <v>3.8056353968732676E-20</v>
      </c>
      <c r="P350">
        <f t="shared" si="81"/>
        <v>1.3527895136643163E-5</v>
      </c>
      <c r="Q350">
        <f t="shared" si="82"/>
        <v>0.99998647210486336</v>
      </c>
      <c r="R350">
        <f t="shared" si="83"/>
        <v>1</v>
      </c>
      <c r="S350">
        <v>9.1335249524958429E-17</v>
      </c>
      <c r="T350">
        <v>1.4204289893475322E-2</v>
      </c>
      <c r="U350">
        <f t="shared" si="88"/>
        <v>1.4461189735354901E-2</v>
      </c>
      <c r="V350">
        <v>6.7639475683216111E-6</v>
      </c>
      <c r="W350">
        <f t="shared" si="89"/>
        <v>6.8862808263594623E-6</v>
      </c>
    </row>
    <row r="351" spans="1:23">
      <c r="A351">
        <v>348</v>
      </c>
      <c r="B351">
        <f t="shared" si="75"/>
        <v>94</v>
      </c>
      <c r="C351">
        <f t="shared" si="76"/>
        <v>0.3687481549733832</v>
      </c>
      <c r="D351" s="21">
        <v>3.26024933466984E-20</v>
      </c>
      <c r="E351">
        <f t="shared" si="84"/>
        <v>0.14331011915947656</v>
      </c>
      <c r="F351">
        <f t="shared" si="77"/>
        <v>0.15467929187071205</v>
      </c>
      <c r="G351" s="22">
        <f t="shared" si="85"/>
        <v>3.2602493346698375E-20</v>
      </c>
      <c r="H351" s="21">
        <v>1.3055510716868599E-5</v>
      </c>
      <c r="I351">
        <f t="shared" si="78"/>
        <v>3.5543538198046169E-2</v>
      </c>
      <c r="J351" s="22">
        <f t="shared" si="86"/>
        <v>1.3055510716868599E-5</v>
      </c>
      <c r="K351">
        <f t="shared" si="87"/>
        <v>3.4919284560023467E-2</v>
      </c>
      <c r="L351">
        <v>2.1327201937785922E-2</v>
      </c>
      <c r="M351">
        <f t="shared" si="79"/>
        <v>3.4919284560023467E-2</v>
      </c>
      <c r="N351">
        <f t="shared" si="80"/>
        <v>1.3055510716868599E-5</v>
      </c>
      <c r="O351">
        <v>3.2602493346698375E-20</v>
      </c>
      <c r="P351">
        <f t="shared" si="81"/>
        <v>1.3055510716868567E-5</v>
      </c>
      <c r="Q351">
        <f t="shared" si="82"/>
        <v>0.99998694448928316</v>
      </c>
      <c r="R351">
        <f t="shared" si="83"/>
        <v>1</v>
      </c>
      <c r="S351">
        <v>7.8245984032076098E-17</v>
      </c>
      <c r="T351">
        <v>1.3708286252711996E-2</v>
      </c>
      <c r="U351">
        <f t="shared" si="88"/>
        <v>1.3956288073093744E-2</v>
      </c>
      <c r="V351">
        <v>6.527755358434309E-6</v>
      </c>
      <c r="W351">
        <f t="shared" si="89"/>
        <v>6.6458514633779605E-6</v>
      </c>
    </row>
    <row r="352" spans="1:23">
      <c r="A352">
        <v>349</v>
      </c>
      <c r="B352">
        <f t="shared" si="75"/>
        <v>94.083333333333329</v>
      </c>
      <c r="C352">
        <f t="shared" si="76"/>
        <v>0.36769254691144126</v>
      </c>
      <c r="D352" s="21">
        <v>2.7927742644593301E-20</v>
      </c>
      <c r="E352">
        <f t="shared" si="84"/>
        <v>0.1433862941828804</v>
      </c>
      <c r="F352">
        <f t="shared" si="77"/>
        <v>0.15476821367540242</v>
      </c>
      <c r="G352" s="22">
        <f t="shared" si="85"/>
        <v>2.7927742644593283E-20</v>
      </c>
      <c r="H352" s="21">
        <v>1.2599492916811E-5</v>
      </c>
      <c r="I352">
        <f t="shared" si="78"/>
        <v>3.5553753339425613E-2</v>
      </c>
      <c r="J352" s="22">
        <f t="shared" si="86"/>
        <v>1.2599492916811E-5</v>
      </c>
      <c r="K352">
        <f t="shared" si="87"/>
        <v>3.4929142945621772E-2</v>
      </c>
      <c r="L352">
        <v>2.1327201937785922E-2</v>
      </c>
      <c r="M352">
        <f t="shared" si="79"/>
        <v>3.4929142945621772E-2</v>
      </c>
      <c r="N352">
        <f t="shared" si="80"/>
        <v>1.2599492916811E-5</v>
      </c>
      <c r="O352">
        <v>2.7927742644593283E-20</v>
      </c>
      <c r="P352">
        <f t="shared" si="81"/>
        <v>1.2599492916810973E-5</v>
      </c>
      <c r="Q352">
        <f t="shared" si="82"/>
        <v>0.99998740050708324</v>
      </c>
      <c r="R352">
        <f t="shared" si="83"/>
        <v>1</v>
      </c>
      <c r="S352">
        <v>6.7026582347023884E-17</v>
      </c>
      <c r="T352">
        <v>1.3229467562651521E-2</v>
      </c>
      <c r="U352">
        <f t="shared" si="88"/>
        <v>1.346887690768183E-2</v>
      </c>
      <c r="V352">
        <v>6.2997464584055083E-6</v>
      </c>
      <c r="W352">
        <f t="shared" si="89"/>
        <v>6.4137509084199087E-6</v>
      </c>
    </row>
    <row r="353" spans="1:23">
      <c r="A353">
        <v>350</v>
      </c>
      <c r="B353">
        <f t="shared" si="75"/>
        <v>94.166666666666671</v>
      </c>
      <c r="C353">
        <f t="shared" si="76"/>
        <v>0.36663996071785399</v>
      </c>
      <c r="D353" s="21">
        <v>2.392116479192E-20</v>
      </c>
      <c r="E353">
        <f t="shared" si="84"/>
        <v>0.14346228779249215</v>
      </c>
      <c r="F353">
        <f t="shared" si="77"/>
        <v>0.15485693158890618</v>
      </c>
      <c r="G353" s="22">
        <f t="shared" si="85"/>
        <v>2.3921164791919985E-20</v>
      </c>
      <c r="H353" s="21">
        <v>1.21592795386426E-5</v>
      </c>
      <c r="I353">
        <f t="shared" si="78"/>
        <v>3.5563942134183353E-2</v>
      </c>
      <c r="J353" s="22">
        <f t="shared" si="86"/>
        <v>1.21592795386426E-5</v>
      </c>
      <c r="K353">
        <f t="shared" si="87"/>
        <v>3.4938975804418404E-2</v>
      </c>
      <c r="L353">
        <v>2.1327201937785922E-2</v>
      </c>
      <c r="M353">
        <f t="shared" si="79"/>
        <v>3.4938975804418404E-2</v>
      </c>
      <c r="N353">
        <f t="shared" si="80"/>
        <v>1.21592795386426E-5</v>
      </c>
      <c r="O353">
        <v>2.3921164791919985E-20</v>
      </c>
      <c r="P353">
        <f t="shared" si="81"/>
        <v>1.2159279538642576E-5</v>
      </c>
      <c r="Q353">
        <f t="shared" si="82"/>
        <v>0.99998784072046132</v>
      </c>
      <c r="R353">
        <f t="shared" si="83"/>
        <v>1</v>
      </c>
      <c r="S353">
        <v>5.741079550060796E-17</v>
      </c>
      <c r="T353">
        <v>1.2767243515574705E-2</v>
      </c>
      <c r="U353">
        <f t="shared" si="88"/>
        <v>1.2998355539113176E-2</v>
      </c>
      <c r="V353">
        <v>6.0796397693213066E-6</v>
      </c>
      <c r="W353">
        <f t="shared" si="89"/>
        <v>6.1896931138634071E-6</v>
      </c>
    </row>
    <row r="354" spans="1:23">
      <c r="A354">
        <v>351</v>
      </c>
      <c r="B354">
        <f t="shared" si="75"/>
        <v>94.25</v>
      </c>
      <c r="C354">
        <f t="shared" si="76"/>
        <v>0.36559038774197883</v>
      </c>
      <c r="D354" s="21">
        <v>2.0487566225565401E-20</v>
      </c>
      <c r="E354">
        <f t="shared" si="84"/>
        <v>0.14353810093371322</v>
      </c>
      <c r="F354">
        <f t="shared" si="77"/>
        <v>0.15494544666009666</v>
      </c>
      <c r="G354" s="22">
        <f t="shared" si="85"/>
        <v>2.0487566225565386E-20</v>
      </c>
      <c r="H354" s="21">
        <v>1.17343275132635E-5</v>
      </c>
      <c r="I354">
        <f t="shared" si="78"/>
        <v>3.5574104725368885E-2</v>
      </c>
      <c r="J354" s="22">
        <f t="shared" si="86"/>
        <v>1.17343275132635E-5</v>
      </c>
      <c r="K354">
        <f t="shared" si="87"/>
        <v>3.4948783275241646E-2</v>
      </c>
      <c r="L354">
        <v>2.1327201937785922E-2</v>
      </c>
      <c r="M354">
        <f t="shared" si="79"/>
        <v>3.4948783275241646E-2</v>
      </c>
      <c r="N354">
        <f t="shared" si="80"/>
        <v>1.17343275132635E-5</v>
      </c>
      <c r="O354">
        <v>2.0487566225565386E-20</v>
      </c>
      <c r="P354">
        <f t="shared" si="81"/>
        <v>1.173432751326348E-5</v>
      </c>
      <c r="Q354">
        <f t="shared" si="82"/>
        <v>0.99998826567248678</v>
      </c>
      <c r="R354">
        <f t="shared" si="83"/>
        <v>1</v>
      </c>
      <c r="S354">
        <v>4.9170158941356925E-17</v>
      </c>
      <c r="T354">
        <v>1.2321043888926653E-2</v>
      </c>
      <c r="U354">
        <f t="shared" si="88"/>
        <v>1.2544143702250732E-2</v>
      </c>
      <c r="V354">
        <v>5.8671637566317559E-6</v>
      </c>
      <c r="W354">
        <f t="shared" si="89"/>
        <v>5.9734017629765313E-6</v>
      </c>
    </row>
    <row r="355" spans="1:23">
      <c r="A355">
        <v>352</v>
      </c>
      <c r="B355">
        <f t="shared" si="75"/>
        <v>94.333333333333329</v>
      </c>
      <c r="C355">
        <f t="shared" si="76"/>
        <v>0.36454381935793684</v>
      </c>
      <c r="D355" s="21">
        <v>1.7545270328187001E-20</v>
      </c>
      <c r="E355">
        <f t="shared" si="84"/>
        <v>0.14361373454436266</v>
      </c>
      <c r="F355">
        <f t="shared" si="77"/>
        <v>0.15503375992949811</v>
      </c>
      <c r="G355" s="22">
        <f t="shared" si="85"/>
        <v>1.7545270328186989E-20</v>
      </c>
      <c r="H355" s="21">
        <v>1.1324112256342101E-5</v>
      </c>
      <c r="I355">
        <f t="shared" si="78"/>
        <v>3.5584241254862321E-2</v>
      </c>
      <c r="J355" s="22">
        <f t="shared" si="86"/>
        <v>1.1324112256342101E-5</v>
      </c>
      <c r="K355">
        <f t="shared" si="87"/>
        <v>3.4958565495783689E-2</v>
      </c>
      <c r="L355">
        <v>2.1327201937785922E-2</v>
      </c>
      <c r="M355">
        <f t="shared" si="79"/>
        <v>3.4958565495783689E-2</v>
      </c>
      <c r="N355">
        <f t="shared" si="80"/>
        <v>1.1324112256342101E-5</v>
      </c>
      <c r="O355">
        <v>1.7545270328186989E-20</v>
      </c>
      <c r="P355">
        <f t="shared" si="81"/>
        <v>1.1324112256342084E-5</v>
      </c>
      <c r="Q355">
        <f t="shared" si="82"/>
        <v>0.99998867588774365</v>
      </c>
      <c r="R355">
        <f t="shared" si="83"/>
        <v>1</v>
      </c>
      <c r="S355">
        <v>4.2108648787648773E-17</v>
      </c>
      <c r="T355">
        <v>1.1890317869159188E-2</v>
      </c>
      <c r="U355">
        <f t="shared" si="88"/>
        <v>1.2105680879042966E-2</v>
      </c>
      <c r="V355">
        <v>5.6620561281710554E-6</v>
      </c>
      <c r="W355">
        <f t="shared" si="89"/>
        <v>5.7646099424014052E-6</v>
      </c>
    </row>
    <row r="356" spans="1:23">
      <c r="A356">
        <v>353</v>
      </c>
      <c r="B356">
        <f t="shared" si="75"/>
        <v>94.416666666666671</v>
      </c>
      <c r="C356">
        <f t="shared" si="76"/>
        <v>0.36350024696454231</v>
      </c>
      <c r="D356" s="21">
        <v>1.5024204654211E-20</v>
      </c>
      <c r="E356">
        <f t="shared" si="84"/>
        <v>0.14368918955473908</v>
      </c>
      <c r="F356">
        <f t="shared" si="77"/>
        <v>0.15512187242935221</v>
      </c>
      <c r="G356" s="22">
        <f t="shared" si="85"/>
        <v>1.5024204654210991E-20</v>
      </c>
      <c r="H356" s="21">
        <v>1.0928127045774901E-5</v>
      </c>
      <c r="I356">
        <f t="shared" si="78"/>
        <v>3.5594351863316262E-2</v>
      </c>
      <c r="J356" s="22">
        <f t="shared" si="86"/>
        <v>1.0928127045774901E-5</v>
      </c>
      <c r="K356">
        <f t="shared" si="87"/>
        <v>3.4968322602544566E-2</v>
      </c>
      <c r="L356">
        <v>2.1327201937785922E-2</v>
      </c>
      <c r="M356">
        <f t="shared" si="79"/>
        <v>3.4968322602544566E-2</v>
      </c>
      <c r="N356">
        <f t="shared" si="80"/>
        <v>1.0928127045774901E-5</v>
      </c>
      <c r="O356">
        <v>1.5024204654210991E-20</v>
      </c>
      <c r="P356">
        <f t="shared" si="81"/>
        <v>1.0928127045774885E-5</v>
      </c>
      <c r="Q356">
        <f t="shared" si="82"/>
        <v>0.99998907187295427</v>
      </c>
      <c r="R356">
        <f t="shared" si="83"/>
        <v>1</v>
      </c>
      <c r="S356">
        <v>3.6058091170106379E-17</v>
      </c>
      <c r="T356">
        <v>1.1474533398063629E-2</v>
      </c>
      <c r="U356">
        <f t="shared" si="88"/>
        <v>1.1682425633611448E-2</v>
      </c>
      <c r="V356">
        <v>5.4640635228874546E-6</v>
      </c>
      <c r="W356">
        <f t="shared" si="89"/>
        <v>5.5630598255292546E-6</v>
      </c>
    </row>
    <row r="357" spans="1:23">
      <c r="A357">
        <v>354</v>
      </c>
      <c r="B357">
        <f t="shared" si="75"/>
        <v>94.5</v>
      </c>
      <c r="C357">
        <f t="shared" si="76"/>
        <v>0.362459661985232</v>
      </c>
      <c r="D357" s="21">
        <v>1.28642578816865E-20</v>
      </c>
      <c r="E357">
        <f t="shared" si="84"/>
        <v>0.14376446688771027</v>
      </c>
      <c r="F357">
        <f t="shared" si="77"/>
        <v>0.15520978518371692</v>
      </c>
      <c r="G357" s="22">
        <f t="shared" si="85"/>
        <v>1.2864257881686493E-20</v>
      </c>
      <c r="H357" s="21">
        <v>1.0545882419860701E-5</v>
      </c>
      <c r="I357">
        <f t="shared" si="78"/>
        <v>3.5604436690307176E-2</v>
      </c>
      <c r="J357" s="22">
        <f t="shared" si="86"/>
        <v>1.0545882419860701E-5</v>
      </c>
      <c r="K357">
        <f t="shared" si="87"/>
        <v>3.497805473097837E-2</v>
      </c>
      <c r="L357">
        <v>2.1327201937785922E-2</v>
      </c>
      <c r="M357">
        <f t="shared" si="79"/>
        <v>3.497805473097837E-2</v>
      </c>
      <c r="N357">
        <f t="shared" si="80"/>
        <v>1.0545882419860701E-5</v>
      </c>
      <c r="O357">
        <v>1.2864257881686493E-20</v>
      </c>
      <c r="P357">
        <f t="shared" si="81"/>
        <v>1.0545882419860687E-5</v>
      </c>
      <c r="Q357">
        <f t="shared" si="82"/>
        <v>0.99998945411758011</v>
      </c>
      <c r="R357">
        <f t="shared" si="83"/>
        <v>1</v>
      </c>
      <c r="S357">
        <v>3.087421891604758E-17</v>
      </c>
      <c r="T357">
        <v>1.1073176540853722E-2</v>
      </c>
      <c r="U357">
        <f t="shared" si="88"/>
        <v>1.1273854969458709E-2</v>
      </c>
      <c r="V357">
        <v>5.2729412099303537E-6</v>
      </c>
      <c r="W357">
        <f t="shared" si="89"/>
        <v>5.3685023664089041E-6</v>
      </c>
    </row>
    <row r="358" spans="1:23">
      <c r="A358">
        <v>355</v>
      </c>
      <c r="B358">
        <f t="shared" si="75"/>
        <v>94.583333333333329</v>
      </c>
      <c r="C358">
        <f t="shared" si="76"/>
        <v>0.36142205586799447</v>
      </c>
      <c r="D358" s="21">
        <v>1.10138685923068E-20</v>
      </c>
      <c r="E358">
        <f t="shared" si="84"/>
        <v>0.1438395674587577</v>
      </c>
      <c r="F358">
        <f t="shared" si="77"/>
        <v>0.15529749920851249</v>
      </c>
      <c r="G358" s="22">
        <f t="shared" si="85"/>
        <v>1.1013868592306794E-20</v>
      </c>
      <c r="H358" s="21">
        <v>1.01769055955124E-5</v>
      </c>
      <c r="I358">
        <f t="shared" si="78"/>
        <v>3.5614495874221407E-2</v>
      </c>
      <c r="J358" s="22">
        <f t="shared" si="86"/>
        <v>1.01769055955124E-5</v>
      </c>
      <c r="K358">
        <f t="shared" si="87"/>
        <v>3.4987762015383339E-2</v>
      </c>
      <c r="L358">
        <v>2.1327201937785922E-2</v>
      </c>
      <c r="M358">
        <f t="shared" si="79"/>
        <v>3.4987762015383339E-2</v>
      </c>
      <c r="N358">
        <f t="shared" si="80"/>
        <v>1.01769055955124E-5</v>
      </c>
      <c r="O358">
        <v>1.1013868592306794E-20</v>
      </c>
      <c r="P358">
        <f t="shared" si="81"/>
        <v>1.0176905595512388E-5</v>
      </c>
      <c r="Q358">
        <f t="shared" si="82"/>
        <v>0.99998982309440454</v>
      </c>
      <c r="R358">
        <f t="shared" si="83"/>
        <v>1</v>
      </c>
      <c r="S358">
        <v>2.6433284621536304E-17</v>
      </c>
      <c r="T358">
        <v>1.0685750875288008E-2</v>
      </c>
      <c r="U358">
        <f t="shared" si="88"/>
        <v>1.0879463708070893E-2</v>
      </c>
      <c r="V358">
        <v>5.0884527977562025E-6</v>
      </c>
      <c r="W358">
        <f t="shared" si="89"/>
        <v>5.1806970038432777E-6</v>
      </c>
    </row>
    <row r="359" spans="1:23">
      <c r="A359">
        <v>356</v>
      </c>
      <c r="B359">
        <f t="shared" si="75"/>
        <v>94.666666666666671</v>
      </c>
      <c r="C359">
        <f t="shared" si="76"/>
        <v>0.36038742008530034</v>
      </c>
      <c r="D359" s="21">
        <v>9.4288132869503601E-21</v>
      </c>
      <c r="E359">
        <f t="shared" si="84"/>
        <v>0.14391449217612806</v>
      </c>
      <c r="F359">
        <f t="shared" si="77"/>
        <v>0.15538501551169287</v>
      </c>
      <c r="G359" s="22">
        <f t="shared" si="85"/>
        <v>9.4288132869503556E-21</v>
      </c>
      <c r="H359" s="21">
        <v>9.8207399058464299E-6</v>
      </c>
      <c r="I359">
        <f t="shared" si="78"/>
        <v>3.5624529552309984E-2</v>
      </c>
      <c r="J359" s="22">
        <f t="shared" si="86"/>
        <v>9.8207399058464299E-6</v>
      </c>
      <c r="K359">
        <f t="shared" si="87"/>
        <v>3.4997444588954818E-2</v>
      </c>
      <c r="L359">
        <v>2.1327201937785922E-2</v>
      </c>
      <c r="M359">
        <f t="shared" si="79"/>
        <v>3.4997444588954818E-2</v>
      </c>
      <c r="N359">
        <f t="shared" si="80"/>
        <v>9.8207399058464299E-6</v>
      </c>
      <c r="O359">
        <v>9.4288132869503556E-21</v>
      </c>
      <c r="P359">
        <f t="shared" si="81"/>
        <v>9.8207399058464198E-6</v>
      </c>
      <c r="Q359">
        <f t="shared" si="82"/>
        <v>0.99999017926009415</v>
      </c>
      <c r="R359">
        <f t="shared" si="83"/>
        <v>1</v>
      </c>
      <c r="S359">
        <v>2.2629151888680853E-17</v>
      </c>
      <c r="T359">
        <v>1.031177690113874E-2</v>
      </c>
      <c r="U359">
        <f t="shared" si="88"/>
        <v>1.0498763888213398E-2</v>
      </c>
      <c r="V359">
        <v>4.9103699529232175E-6</v>
      </c>
      <c r="W359">
        <f t="shared" si="89"/>
        <v>4.9994113753397096E-6</v>
      </c>
    </row>
    <row r="360" spans="1:23">
      <c r="A360">
        <v>357</v>
      </c>
      <c r="B360">
        <f t="shared" si="75"/>
        <v>94.75</v>
      </c>
      <c r="C360">
        <f t="shared" si="76"/>
        <v>0.35935574613403132</v>
      </c>
      <c r="D360" s="21">
        <v>8.0711656093606394E-21</v>
      </c>
      <c r="E360">
        <f t="shared" si="84"/>
        <v>0.14398924194084195</v>
      </c>
      <c r="F360">
        <f t="shared" si="77"/>
        <v>0.1554723350932502</v>
      </c>
      <c r="G360" s="22">
        <f t="shared" si="85"/>
        <v>8.0711656093606349E-21</v>
      </c>
      <c r="H360" s="21">
        <v>9.4769442565133802E-6</v>
      </c>
      <c r="I360">
        <f t="shared" si="78"/>
        <v>3.5634537860731758E-2</v>
      </c>
      <c r="J360" s="22">
        <f t="shared" si="86"/>
        <v>9.4769442565133802E-6</v>
      </c>
      <c r="K360">
        <f t="shared" si="87"/>
        <v>3.5007102583826999E-2</v>
      </c>
      <c r="L360">
        <v>2.1327201937785922E-2</v>
      </c>
      <c r="M360">
        <f t="shared" si="79"/>
        <v>3.5007102583826999E-2</v>
      </c>
      <c r="N360">
        <f t="shared" si="80"/>
        <v>9.4769442565133802E-6</v>
      </c>
      <c r="O360">
        <v>8.0711656093606349E-21</v>
      </c>
      <c r="P360">
        <f t="shared" si="81"/>
        <v>9.4769442565133717E-6</v>
      </c>
      <c r="Q360">
        <f t="shared" si="82"/>
        <v>0.99999052305574354</v>
      </c>
      <c r="R360">
        <f t="shared" si="83"/>
        <v>1</v>
      </c>
      <c r="S360">
        <v>1.9370797462465523E-17</v>
      </c>
      <c r="T360">
        <v>9.9507914693390404E-3</v>
      </c>
      <c r="U360">
        <f t="shared" si="88"/>
        <v>1.0131284185238912E-2</v>
      </c>
      <c r="V360">
        <v>4.7384721282566918E-6</v>
      </c>
      <c r="W360">
        <f t="shared" si="89"/>
        <v>4.8244210405899542E-6</v>
      </c>
    </row>
    <row r="361" spans="1:23">
      <c r="A361">
        <v>358</v>
      </c>
      <c r="B361">
        <f t="shared" si="75"/>
        <v>94.833333333333329</v>
      </c>
      <c r="C361">
        <f t="shared" si="76"/>
        <v>0.35832702553541107</v>
      </c>
      <c r="D361" s="21">
        <v>6.9084026788164397E-21</v>
      </c>
      <c r="E361">
        <f t="shared" si="84"/>
        <v>0.14406381764681797</v>
      </c>
      <c r="F361">
        <f t="shared" si="77"/>
        <v>0.1555594589453542</v>
      </c>
      <c r="G361" s="22">
        <f t="shared" si="85"/>
        <v>6.9084026788164367E-21</v>
      </c>
      <c r="H361" s="21">
        <v>9.1450926001544202E-6</v>
      </c>
      <c r="I361">
        <f t="shared" si="78"/>
        <v>3.5644520934525387E-2</v>
      </c>
      <c r="J361" s="22">
        <f t="shared" si="86"/>
        <v>9.1450926001544202E-6</v>
      </c>
      <c r="K361">
        <f t="shared" si="87"/>
        <v>3.5016736131045945E-2</v>
      </c>
      <c r="L361">
        <v>2.1327201937785922E-2</v>
      </c>
      <c r="M361">
        <f t="shared" si="79"/>
        <v>3.5016736131045945E-2</v>
      </c>
      <c r="N361">
        <f t="shared" si="80"/>
        <v>9.1450926001544202E-6</v>
      </c>
      <c r="O361">
        <v>6.9084026788164367E-21</v>
      </c>
      <c r="P361">
        <f t="shared" si="81"/>
        <v>9.1450926001544134E-6</v>
      </c>
      <c r="Q361">
        <f t="shared" si="82"/>
        <v>0.99999085490739981</v>
      </c>
      <c r="R361">
        <f t="shared" si="83"/>
        <v>1</v>
      </c>
      <c r="S361">
        <v>1.6580166429159449E-17</v>
      </c>
      <c r="T361">
        <v>9.6023472301621348E-3</v>
      </c>
      <c r="U361">
        <f t="shared" si="88"/>
        <v>9.7765693497506058E-3</v>
      </c>
      <c r="V361">
        <v>4.5725463000772118E-6</v>
      </c>
      <c r="W361">
        <f t="shared" si="89"/>
        <v>4.6555092141669522E-6</v>
      </c>
    </row>
    <row r="362" spans="1:23">
      <c r="A362">
        <v>359</v>
      </c>
      <c r="B362">
        <f t="shared" si="75"/>
        <v>94.916666666666671</v>
      </c>
      <c r="C362">
        <f t="shared" si="76"/>
        <v>0.35730124983493555</v>
      </c>
      <c r="D362" s="21">
        <v>5.9126378123989397E-21</v>
      </c>
      <c r="E362">
        <f t="shared" si="84"/>
        <v>0.14413822018089084</v>
      </c>
      <c r="F362">
        <f t="shared" si="77"/>
        <v>0.15564638805236786</v>
      </c>
      <c r="G362" s="22">
        <f t="shared" si="85"/>
        <v>5.9126378123989367E-21</v>
      </c>
      <c r="H362" s="21">
        <v>8.8247734283867793E-6</v>
      </c>
      <c r="I362">
        <f t="shared" si="78"/>
        <v>3.5654478907636712E-2</v>
      </c>
      <c r="J362" s="22">
        <f t="shared" si="86"/>
        <v>8.8247734283867793E-6</v>
      </c>
      <c r="K362">
        <f t="shared" si="87"/>
        <v>3.5026345360596123E-2</v>
      </c>
      <c r="L362">
        <v>2.1327201937785922E-2</v>
      </c>
      <c r="M362">
        <f t="shared" si="79"/>
        <v>3.5026345360596123E-2</v>
      </c>
      <c r="N362">
        <f t="shared" si="80"/>
        <v>8.8247734283867793E-6</v>
      </c>
      <c r="O362">
        <v>5.9126378123989367E-21</v>
      </c>
      <c r="P362">
        <f t="shared" si="81"/>
        <v>8.8247734283867742E-6</v>
      </c>
      <c r="Q362">
        <f t="shared" si="82"/>
        <v>0.99999117522657166</v>
      </c>
      <c r="R362">
        <f t="shared" si="83"/>
        <v>1</v>
      </c>
      <c r="S362">
        <v>1.4190330749757448E-17</v>
      </c>
      <c r="T362">
        <v>9.2660120998061136E-3</v>
      </c>
      <c r="U362">
        <f t="shared" si="88"/>
        <v>9.4341796649841398E-3</v>
      </c>
      <c r="V362">
        <v>4.4123867141933914E-6</v>
      </c>
      <c r="W362">
        <f t="shared" si="89"/>
        <v>4.492466507135302E-6</v>
      </c>
    </row>
    <row r="363" spans="1:23">
      <c r="A363">
        <v>360</v>
      </c>
      <c r="B363">
        <f t="shared" si="75"/>
        <v>95</v>
      </c>
      <c r="C363">
        <f t="shared" si="76"/>
        <v>0.3562784106023027</v>
      </c>
      <c r="D363" s="21">
        <v>5.0599618250094E-21</v>
      </c>
      <c r="E363">
        <f t="shared" si="84"/>
        <v>0.1442124504229666</v>
      </c>
      <c r="F363">
        <f t="shared" si="77"/>
        <v>0.15573312339102333</v>
      </c>
      <c r="G363" s="22">
        <f t="shared" si="85"/>
        <v>5.059961825009397E-21</v>
      </c>
      <c r="H363" s="21">
        <v>8.5155892807416404E-6</v>
      </c>
      <c r="I363">
        <f t="shared" si="78"/>
        <v>3.5664411912924771E-2</v>
      </c>
      <c r="J363" s="22">
        <f t="shared" si="86"/>
        <v>8.5155892807416404E-6</v>
      </c>
      <c r="K363">
        <f t="shared" si="87"/>
        <v>3.503593040140629E-2</v>
      </c>
      <c r="L363">
        <v>2.3605097188321267E-2</v>
      </c>
      <c r="M363">
        <f t="shared" si="79"/>
        <v>3.503593040140629E-2</v>
      </c>
      <c r="N363">
        <f t="shared" si="80"/>
        <v>8.5155892807416404E-6</v>
      </c>
      <c r="O363">
        <v>5.059961825009397E-21</v>
      </c>
      <c r="P363">
        <f t="shared" si="81"/>
        <v>8.5155892807416353E-6</v>
      </c>
      <c r="Q363">
        <f t="shared" si="82"/>
        <v>0.99999148441071928</v>
      </c>
      <c r="R363">
        <f t="shared" si="83"/>
        <v>1</v>
      </c>
      <c r="S363">
        <v>1.2143908380022553E-17</v>
      </c>
      <c r="T363">
        <v>8.9413687447787178E-3</v>
      </c>
      <c r="U363">
        <f t="shared" si="88"/>
        <v>9.1036904222924278E-3</v>
      </c>
      <c r="V363">
        <v>4.2577946403708219E-6</v>
      </c>
      <c r="W363">
        <f t="shared" si="89"/>
        <v>4.3350906772821062E-6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46BC-D822-D149-8953-490A85F50B58}">
  <dimension ref="A1:AB363"/>
  <sheetViews>
    <sheetView zoomScaleNormal="100" workbookViewId="0">
      <pane ySplit="2" topLeftCell="A3" activePane="bottomLeft" state="frozen"/>
      <selection pane="bottomLeft" activeCell="Y21" sqref="Y21"/>
    </sheetView>
  </sheetViews>
  <sheetFormatPr baseColWidth="10" defaultRowHeight="16"/>
  <cols>
    <col min="3" max="3" width="16" customWidth="1"/>
    <col min="4" max="4" width="14.83203125" style="21" customWidth="1"/>
    <col min="5" max="5" width="17.1640625" customWidth="1"/>
    <col min="6" max="6" width="13.33203125" style="22" customWidth="1"/>
    <col min="7" max="7" width="13.33203125" customWidth="1"/>
    <col min="8" max="8" width="13.6640625" style="21" customWidth="1"/>
    <col min="9" max="9" width="13.6640625" customWidth="1"/>
    <col min="10" max="10" width="13.6640625" style="22" customWidth="1"/>
    <col min="19" max="19" width="13.6640625" customWidth="1"/>
    <col min="20" max="20" width="24.5" customWidth="1"/>
    <col min="21" max="21" width="12.6640625" customWidth="1"/>
    <col min="23" max="23" width="15" customWidth="1"/>
    <col min="25" max="25" width="13.33203125" customWidth="1"/>
  </cols>
  <sheetData>
    <row r="1" spans="1:28">
      <c r="A1" t="s">
        <v>21</v>
      </c>
      <c r="B1" t="s">
        <v>72</v>
      </c>
      <c r="C1" t="s">
        <v>73</v>
      </c>
      <c r="D1" s="21" t="s">
        <v>87</v>
      </c>
      <c r="E1" t="s">
        <v>150</v>
      </c>
      <c r="F1" s="22" t="s">
        <v>152</v>
      </c>
      <c r="G1" t="s">
        <v>88</v>
      </c>
      <c r="H1" s="21" t="s">
        <v>154</v>
      </c>
      <c r="I1" t="s">
        <v>157</v>
      </c>
      <c r="J1" s="22" t="s">
        <v>155</v>
      </c>
      <c r="K1" t="s">
        <v>75</v>
      </c>
      <c r="L1" t="s">
        <v>76</v>
      </c>
      <c r="M1" t="s">
        <v>77</v>
      </c>
      <c r="N1" t="s">
        <v>78</v>
      </c>
      <c r="O1" t="s">
        <v>89</v>
      </c>
      <c r="P1" t="s">
        <v>90</v>
      </c>
      <c r="Q1" t="s">
        <v>91</v>
      </c>
      <c r="R1" t="s">
        <v>100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</row>
    <row r="2" spans="1:28">
      <c r="A2" s="2" t="s">
        <v>21</v>
      </c>
      <c r="B2" s="2" t="s">
        <v>23</v>
      </c>
      <c r="C2" t="s">
        <v>45</v>
      </c>
      <c r="D2" s="21" t="s">
        <v>53</v>
      </c>
      <c r="E2" t="s">
        <v>151</v>
      </c>
      <c r="F2" s="22" t="s">
        <v>153</v>
      </c>
      <c r="G2" t="s">
        <v>62</v>
      </c>
      <c r="H2" s="21" t="s">
        <v>71</v>
      </c>
      <c r="I2" t="s">
        <v>158</v>
      </c>
      <c r="J2" s="22" t="s">
        <v>156</v>
      </c>
      <c r="K2" t="s">
        <v>40</v>
      </c>
      <c r="L2" t="s">
        <v>41</v>
      </c>
      <c r="M2" t="s">
        <v>42</v>
      </c>
      <c r="N2" t="s">
        <v>43</v>
      </c>
      <c r="O2" t="s">
        <v>59</v>
      </c>
      <c r="P2" t="s">
        <v>54</v>
      </c>
      <c r="Q2" t="s">
        <v>55</v>
      </c>
      <c r="R2" t="s">
        <v>102</v>
      </c>
      <c r="S2" t="s">
        <v>56</v>
      </c>
      <c r="T2" t="s">
        <v>57</v>
      </c>
      <c r="U2" t="s">
        <v>64</v>
      </c>
      <c r="V2" t="s">
        <v>58</v>
      </c>
      <c r="W2" t="s">
        <v>52</v>
      </c>
      <c r="Y2" t="s">
        <v>160</v>
      </c>
      <c r="Z2" cm="1">
        <f t="array" ref="Z2">SUMPRODUCT(W3:W363*C3:C363)</f>
        <v>28.04633862581306</v>
      </c>
      <c r="AA2" t="s">
        <v>162</v>
      </c>
      <c r="AB2">
        <f>Z2/12</f>
        <v>2.3371948854844216</v>
      </c>
    </row>
    <row r="3" spans="1:28">
      <c r="A3" s="2">
        <v>0</v>
      </c>
      <c r="B3" s="2">
        <v>65</v>
      </c>
      <c r="C3">
        <f>1/(1+Disc_rate_per_cyc)^$A3</f>
        <v>1</v>
      </c>
      <c r="D3" s="21" cm="1">
        <f t="array" ref="D3:D363">_xlfn.XLOOKUP(A3:A363,'RRMM_Model_Inputs'!A2:A362,'RRMM_Model_Inputs'!D2:D362)</f>
        <v>1</v>
      </c>
      <c r="F3" s="22">
        <v>1</v>
      </c>
      <c r="H3" s="21" cm="1">
        <f t="array" ref="H3:H363">_xlfn.XLOOKUP(A3:A363,'RRMM_Model_Inputs'!A2:A362,'RRMM_Model_Inputs'!E2:E362)</f>
        <v>1</v>
      </c>
      <c r="J3" s="22">
        <v>1</v>
      </c>
      <c r="N3">
        <v>1</v>
      </c>
      <c r="O3" cm="1">
        <f t="array" ref="O3:O363">trt_PFS_Prob_psa_adj</f>
        <v>1</v>
      </c>
      <c r="P3">
        <v>0</v>
      </c>
      <c r="Q3">
        <v>0</v>
      </c>
      <c r="R3">
        <f>SUM(O3:Q3)</f>
        <v>1</v>
      </c>
      <c r="S3">
        <f>IF(A3&lt;24,O3*trt_lst_price*(1-trt_pas_disc),0)</f>
        <v>1050.0000000000002</v>
      </c>
      <c r="T3">
        <v>0</v>
      </c>
      <c r="U3">
        <f>S3+T3</f>
        <v>1050.0000000000002</v>
      </c>
      <c r="V3">
        <v>0</v>
      </c>
      <c r="Y3" t="s">
        <v>161</v>
      </c>
      <c r="Z3" cm="1">
        <f t="array" ref="Z3">SUMPRODUCT(U3:U363*C3:C363)</f>
        <v>90331.645573451868</v>
      </c>
    </row>
    <row r="4" spans="1:28">
      <c r="A4" s="2">
        <v>1</v>
      </c>
      <c r="B4" s="2">
        <v>65.083333300000007</v>
      </c>
      <c r="C4">
        <f t="shared" ref="C4:C66" si="0">1/(1+Disc_rate_per_cyc)^$A4</f>
        <v>0.99713731974599773</v>
      </c>
      <c r="D4" s="21">
        <v>0.97530991202833295</v>
      </c>
      <c r="E4">
        <f t="shared" ref="E4:E67" si="1">-LN(D4/D3)*psa_hrscl_pfs_VtUs</f>
        <v>2.4999999999999713E-2</v>
      </c>
      <c r="F4" s="22">
        <f>D3*EXP(-E4)</f>
        <v>0.97530991202833295</v>
      </c>
      <c r="G4">
        <f>1-D4/D3</f>
        <v>2.4690087971667052E-2</v>
      </c>
      <c r="H4" s="21">
        <v>0.990049833749168</v>
      </c>
      <c r="I4">
        <f t="shared" ref="I4:I67" si="2">-LN(H4/H3)*PSA_trtHRsclr_os_VtUs</f>
        <v>1.0000000000000059E-2</v>
      </c>
      <c r="J4" s="22">
        <f>H3*EXP(-I4)</f>
        <v>0.990049833749168</v>
      </c>
      <c r="K4">
        <f>1-J4/J3</f>
        <v>9.9501662508320043E-3</v>
      </c>
      <c r="L4" cm="1">
        <f t="array" ref="L4:L363">_xlfn.XLOOKUP(B4:B363,DATA_ONS!A7:A107,DATA_ONS!P7:P107,,-1)</f>
        <v>8.3095383084330621E-4</v>
      </c>
      <c r="M4">
        <f t="shared" ref="M4:M67" si="3">MAX(K4:L4)</f>
        <v>9.9501662508320043E-3</v>
      </c>
      <c r="N4">
        <f>N3*(1-M4)</f>
        <v>0.990049833749168</v>
      </c>
      <c r="O4">
        <v>0.97530991202833295</v>
      </c>
      <c r="P4" cm="1">
        <f t="array" ref="P4:P363">trt_engine!adj_OS_Prob-trt_pfs_stt</f>
        <v>1.4739921720835047E-2</v>
      </c>
      <c r="Q4" cm="1">
        <f t="array" ref="Q4:Q363">1-trt_engine!adj_OS_Prob</f>
        <v>9.9501662508320043E-3</v>
      </c>
      <c r="R4">
        <f t="shared" ref="R4:R67" si="4">SUM(O4:Q4)</f>
        <v>1</v>
      </c>
      <c r="S4">
        <f t="shared" ref="S4:S67" si="5">IF(A4&lt;24,O4*trt_lst_price*(1-trt_pas_disc),Mntr_Adm_cst_VtUs)</f>
        <v>1024.0754076297496</v>
      </c>
      <c r="T4" cm="1">
        <f t="array" ref="T4:T363">(Subsq_PD_cst_VtUs+Mntr_Adm_cst_VtUs)*trt_pd_stt</f>
        <v>15.4769178068768</v>
      </c>
      <c r="U4">
        <f>(S4+T4+S3+T3)/2</f>
        <v>1044.7761627183133</v>
      </c>
      <c r="V4">
        <f t="shared" ref="V4:V67" si="6">IF(A3&lt;=3,pd_ulty_VtUs-Utlty_AE_Disutlt,pd_ulty_VtUs)*O4+pd_ulty_VtUs*P4</f>
        <v>0.59255590807741731</v>
      </c>
      <c r="W4">
        <f>(V3+V4)/2</f>
        <v>0.29627795403870866</v>
      </c>
    </row>
    <row r="5" spans="1:28">
      <c r="A5" s="2">
        <v>2</v>
      </c>
      <c r="B5" s="2">
        <v>65.166666699999993</v>
      </c>
      <c r="C5">
        <f t="shared" si="0"/>
        <v>0.99428283443023213</v>
      </c>
      <c r="D5" s="21">
        <v>0.94782189094663405</v>
      </c>
      <c r="E5">
        <f t="shared" si="1"/>
        <v>2.8588673126814769E-2</v>
      </c>
      <c r="F5" s="22">
        <f t="shared" ref="F5:F68" si="7">D4*EXP(-E5)</f>
        <v>0.94782189094663405</v>
      </c>
      <c r="G5">
        <f t="shared" ref="G5:G68" si="8">1-D5/D4</f>
        <v>2.8183883648360109E-2</v>
      </c>
      <c r="H5" s="21">
        <v>0.97950758441610297</v>
      </c>
      <c r="I5">
        <f t="shared" si="2"/>
        <v>1.0705298476827392E-2</v>
      </c>
      <c r="J5" s="22">
        <f t="shared" ref="J5:J68" si="9">H4*EXP(-I5)</f>
        <v>0.97950758441610297</v>
      </c>
      <c r="K5">
        <f t="shared" ref="K5:K68" si="10">1-J5/J4</f>
        <v>1.0648200700305255E-2</v>
      </c>
      <c r="L5">
        <v>8.3095383084330621E-4</v>
      </c>
      <c r="M5">
        <f t="shared" si="3"/>
        <v>1.0648200700305255E-2</v>
      </c>
      <c r="N5">
        <f t="shared" ref="N5:N68" si="11">N4*(1-M5)</f>
        <v>0.97950758441610297</v>
      </c>
      <c r="O5">
        <v>0.94782189094663405</v>
      </c>
      <c r="P5">
        <v>3.1685693469468923E-2</v>
      </c>
      <c r="Q5">
        <v>2.0492415583897028E-2</v>
      </c>
      <c r="R5">
        <f t="shared" si="4"/>
        <v>1</v>
      </c>
      <c r="S5">
        <f t="shared" si="5"/>
        <v>995.2129854939659</v>
      </c>
      <c r="T5">
        <v>33.269978142942371</v>
      </c>
      <c r="U5">
        <f t="shared" ref="U5:U68" si="12">(S5+T5+S4+T4)/2</f>
        <v>1034.0176445367674</v>
      </c>
      <c r="V5">
        <f t="shared" si="6"/>
        <v>0.58453598130271489</v>
      </c>
      <c r="W5">
        <f>(V4+V5)/2</f>
        <v>0.58854594469006605</v>
      </c>
    </row>
    <row r="6" spans="1:28">
      <c r="A6" s="2">
        <v>3</v>
      </c>
      <c r="B6" s="2">
        <v>65.25</v>
      </c>
      <c r="C6">
        <f t="shared" si="0"/>
        <v>0.99143652059321519</v>
      </c>
      <c r="D6" s="21">
        <v>0.91969863058697998</v>
      </c>
      <c r="E6">
        <f t="shared" si="1"/>
        <v>3.0120564925728555E-2</v>
      </c>
      <c r="F6" s="22">
        <f t="shared" si="7"/>
        <v>0.91969863058697998</v>
      </c>
      <c r="G6">
        <f t="shared" si="8"/>
        <v>2.9671461092300899E-2</v>
      </c>
      <c r="H6" s="21">
        <v>0.96880297178573904</v>
      </c>
      <c r="I6">
        <f t="shared" si="2"/>
        <v>1.0988720779658838E-2</v>
      </c>
      <c r="J6" s="22">
        <f t="shared" si="9"/>
        <v>0.96880297178573904</v>
      </c>
      <c r="K6">
        <f t="shared" si="10"/>
        <v>1.0928565332901541E-2</v>
      </c>
      <c r="L6">
        <v>8.3095383084330621E-4</v>
      </c>
      <c r="M6">
        <f t="shared" si="3"/>
        <v>1.0928565332901541E-2</v>
      </c>
      <c r="N6">
        <f t="shared" si="11"/>
        <v>0.96880297178573904</v>
      </c>
      <c r="O6">
        <v>0.91969863058697998</v>
      </c>
      <c r="P6">
        <v>4.9104341198759061E-2</v>
      </c>
      <c r="Q6">
        <v>3.1197028214260958E-2</v>
      </c>
      <c r="R6">
        <f t="shared" si="4"/>
        <v>1</v>
      </c>
      <c r="S6">
        <f t="shared" si="5"/>
        <v>965.68356211632909</v>
      </c>
      <c r="T6">
        <v>51.559558258697017</v>
      </c>
      <c r="U6">
        <f t="shared" si="12"/>
        <v>1022.8630420059671</v>
      </c>
      <c r="V6">
        <f t="shared" si="6"/>
        <v>0.5763713489515675</v>
      </c>
      <c r="W6">
        <f t="shared" ref="W6:W69" si="13">(V5+V6)/2</f>
        <v>0.58045366512714125</v>
      </c>
    </row>
    <row r="7" spans="1:28">
      <c r="A7" s="2">
        <v>4</v>
      </c>
      <c r="B7" s="2">
        <v>65.333333300000007</v>
      </c>
      <c r="C7">
        <f t="shared" si="0"/>
        <v>0.98859835484261638</v>
      </c>
      <c r="D7" s="21">
        <v>0.89148217568697996</v>
      </c>
      <c r="E7">
        <f t="shared" si="1"/>
        <v>3.1160597447160286E-2</v>
      </c>
      <c r="F7" s="22">
        <f t="shared" si="7"/>
        <v>0.89148217568697996</v>
      </c>
      <c r="G7">
        <f t="shared" si="8"/>
        <v>3.0680109724629534E-2</v>
      </c>
      <c r="H7" s="21">
        <v>0.958035027524755</v>
      </c>
      <c r="I7">
        <f t="shared" si="2"/>
        <v>1.1176919244965739E-2</v>
      </c>
      <c r="J7" s="22">
        <f t="shared" si="9"/>
        <v>0.958035027524755</v>
      </c>
      <c r="K7">
        <f t="shared" si="10"/>
        <v>1.1114689544289957E-2</v>
      </c>
      <c r="L7">
        <v>8.3095383084330621E-4</v>
      </c>
      <c r="M7">
        <f t="shared" si="3"/>
        <v>1.1114689544289957E-2</v>
      </c>
      <c r="N7">
        <f t="shared" si="11"/>
        <v>0.958035027524755</v>
      </c>
      <c r="O7">
        <v>0.89148217568697996</v>
      </c>
      <c r="P7">
        <v>6.655285183777504E-2</v>
      </c>
      <c r="Q7">
        <v>4.1964972475244999E-2</v>
      </c>
      <c r="R7">
        <f t="shared" si="4"/>
        <v>1</v>
      </c>
      <c r="S7">
        <f t="shared" si="5"/>
        <v>936.05628447132904</v>
      </c>
      <c r="T7">
        <v>69.880494429663798</v>
      </c>
      <c r="U7">
        <f t="shared" si="12"/>
        <v>1011.5899496380096</v>
      </c>
      <c r="V7">
        <f t="shared" si="6"/>
        <v>0.56816573133107551</v>
      </c>
      <c r="W7">
        <f t="shared" si="13"/>
        <v>0.57226854014132145</v>
      </c>
    </row>
    <row r="8" spans="1:28">
      <c r="A8" s="2">
        <v>5</v>
      </c>
      <c r="B8" s="2">
        <v>65.416666699999993</v>
      </c>
      <c r="C8">
        <f t="shared" si="0"/>
        <v>0.98576831385306929</v>
      </c>
      <c r="D8" s="21">
        <v>0.86344302254525995</v>
      </c>
      <c r="E8">
        <f t="shared" si="1"/>
        <v>3.1957532386299066E-2</v>
      </c>
      <c r="F8" s="22">
        <f t="shared" si="7"/>
        <v>0.86344302254525995</v>
      </c>
      <c r="G8">
        <f t="shared" si="8"/>
        <v>3.1452286884045555E-2</v>
      </c>
      <c r="H8" s="21">
        <v>0.94725218791009602</v>
      </c>
      <c r="I8">
        <f t="shared" si="2"/>
        <v>1.1318980835266695E-2</v>
      </c>
      <c r="J8" s="22">
        <f t="shared" si="9"/>
        <v>0.94725218791009602</v>
      </c>
      <c r="K8">
        <f t="shared" si="10"/>
        <v>1.1255162185998868E-2</v>
      </c>
      <c r="L8">
        <v>8.3095383084330621E-4</v>
      </c>
      <c r="M8">
        <f t="shared" si="3"/>
        <v>1.1255162185998868E-2</v>
      </c>
      <c r="N8">
        <f t="shared" si="11"/>
        <v>0.94725218791009602</v>
      </c>
      <c r="O8">
        <v>0.86344302254525995</v>
      </c>
      <c r="P8">
        <v>8.3809165364836069E-2</v>
      </c>
      <c r="Q8">
        <v>5.2747812089903978E-2</v>
      </c>
      <c r="R8">
        <f t="shared" si="4"/>
        <v>1</v>
      </c>
      <c r="S8">
        <f t="shared" si="5"/>
        <v>906.61517367252316</v>
      </c>
      <c r="T8">
        <v>87.999623633077874</v>
      </c>
      <c r="U8">
        <f t="shared" si="12"/>
        <v>1000.2757881032969</v>
      </c>
      <c r="V8">
        <f t="shared" si="6"/>
        <v>0.47362609395504801</v>
      </c>
      <c r="W8">
        <f t="shared" si="13"/>
        <v>0.52089591264306179</v>
      </c>
    </row>
    <row r="9" spans="1:28">
      <c r="A9" s="2">
        <v>6</v>
      </c>
      <c r="B9" s="2">
        <v>65.5</v>
      </c>
      <c r="C9">
        <f t="shared" si="0"/>
        <v>0.98294637436598087</v>
      </c>
      <c r="D9" s="21">
        <v>0.83574254000696901</v>
      </c>
      <c r="E9">
        <f t="shared" si="1"/>
        <v>3.2607311941694694E-2</v>
      </c>
      <c r="F9" s="22">
        <f t="shared" si="7"/>
        <v>0.83574254000696901</v>
      </c>
      <c r="G9">
        <f t="shared" si="8"/>
        <v>3.2081424963786742E-2</v>
      </c>
      <c r="H9" s="21">
        <v>0.93648346552148698</v>
      </c>
      <c r="I9">
        <f t="shared" si="2"/>
        <v>1.1433493526868182E-2</v>
      </c>
      <c r="J9" s="22">
        <f t="shared" si="9"/>
        <v>0.93648346552148698</v>
      </c>
      <c r="K9">
        <f t="shared" si="10"/>
        <v>1.1368379536148554E-2</v>
      </c>
      <c r="L9">
        <v>8.3095383084330621E-4</v>
      </c>
      <c r="M9">
        <f t="shared" si="3"/>
        <v>1.1368379536148554E-2</v>
      </c>
      <c r="N9">
        <f t="shared" si="11"/>
        <v>0.93648346552148698</v>
      </c>
      <c r="O9">
        <v>0.83574254000696901</v>
      </c>
      <c r="P9">
        <v>0.10074092551451796</v>
      </c>
      <c r="Q9">
        <v>6.351653447851302E-2</v>
      </c>
      <c r="R9">
        <f t="shared" si="4"/>
        <v>1</v>
      </c>
      <c r="S9">
        <f t="shared" si="5"/>
        <v>877.52966700731758</v>
      </c>
      <c r="T9">
        <v>105.77797179024387</v>
      </c>
      <c r="U9">
        <f t="shared" si="12"/>
        <v>988.96121805158123</v>
      </c>
      <c r="V9">
        <f t="shared" si="6"/>
        <v>0.46824173276074349</v>
      </c>
      <c r="W9">
        <f t="shared" si="13"/>
        <v>0.47093391335789575</v>
      </c>
    </row>
    <row r="10" spans="1:28">
      <c r="A10" s="2">
        <v>7</v>
      </c>
      <c r="B10" s="2">
        <v>65.583333300000007</v>
      </c>
      <c r="C10">
        <f t="shared" si="0"/>
        <v>0.98013251318934025</v>
      </c>
      <c r="D10" s="21">
        <v>0.80848556214461897</v>
      </c>
      <c r="E10">
        <f t="shared" si="1"/>
        <v>3.3157777879140156E-2</v>
      </c>
      <c r="F10" s="22">
        <f t="shared" si="7"/>
        <v>0.80848556214461897</v>
      </c>
      <c r="G10">
        <f t="shared" si="8"/>
        <v>3.2614084550635303E-2</v>
      </c>
      <c r="H10" s="21">
        <v>0.92574818285661198</v>
      </c>
      <c r="I10">
        <f t="shared" si="2"/>
        <v>1.1529609214562253E-2</v>
      </c>
      <c r="J10" s="22">
        <f t="shared" si="9"/>
        <v>0.92574818285661198</v>
      </c>
      <c r="K10">
        <f t="shared" si="10"/>
        <v>1.1463397977770962E-2</v>
      </c>
      <c r="L10">
        <v>8.3095383084330621E-4</v>
      </c>
      <c r="M10">
        <f t="shared" si="3"/>
        <v>1.1463397977770962E-2</v>
      </c>
      <c r="N10">
        <f t="shared" si="11"/>
        <v>0.92574818285661198</v>
      </c>
      <c r="O10">
        <v>0.80848556214461897</v>
      </c>
      <c r="P10">
        <v>0.117262620711993</v>
      </c>
      <c r="Q10">
        <v>7.4251817143388021E-2</v>
      </c>
      <c r="R10">
        <f t="shared" si="4"/>
        <v>1</v>
      </c>
      <c r="S10">
        <f t="shared" si="5"/>
        <v>848.90984025185003</v>
      </c>
      <c r="T10">
        <v>123.12575174759266</v>
      </c>
      <c r="U10">
        <f t="shared" si="12"/>
        <v>977.67161539850201</v>
      </c>
      <c r="V10">
        <f t="shared" si="6"/>
        <v>0.46287409142830599</v>
      </c>
      <c r="W10">
        <f t="shared" si="13"/>
        <v>0.46555791209452474</v>
      </c>
    </row>
    <row r="11" spans="1:28">
      <c r="A11" s="2">
        <v>8</v>
      </c>
      <c r="B11" s="2">
        <v>65.666666699999993</v>
      </c>
      <c r="C11">
        <f t="shared" si="0"/>
        <v>0.97732670719752757</v>
      </c>
      <c r="D11" s="21">
        <v>0.78174327695952395</v>
      </c>
      <c r="E11">
        <f t="shared" si="1"/>
        <v>3.3636424962146493E-2</v>
      </c>
      <c r="F11" s="22">
        <f t="shared" si="7"/>
        <v>0.78174327695952395</v>
      </c>
      <c r="G11">
        <f t="shared" si="8"/>
        <v>3.3077010199362711E-2</v>
      </c>
      <c r="H11" s="21">
        <v>0.91506007715837701</v>
      </c>
      <c r="I11">
        <f t="shared" si="2"/>
        <v>1.1612535687278139E-2</v>
      </c>
      <c r="J11" s="22">
        <f t="shared" si="9"/>
        <v>0.91506007715837701</v>
      </c>
      <c r="K11">
        <f t="shared" si="10"/>
        <v>1.1545370432436974E-2</v>
      </c>
      <c r="L11">
        <v>8.3095383084330621E-4</v>
      </c>
      <c r="M11">
        <f t="shared" si="3"/>
        <v>1.1545370432436974E-2</v>
      </c>
      <c r="N11">
        <f t="shared" si="11"/>
        <v>0.91506007715837701</v>
      </c>
      <c r="O11">
        <v>0.78174327695952395</v>
      </c>
      <c r="P11">
        <v>0.13331680019885306</v>
      </c>
      <c r="Q11">
        <v>8.4939922841622995E-2</v>
      </c>
      <c r="R11">
        <f t="shared" si="4"/>
        <v>1</v>
      </c>
      <c r="S11">
        <f t="shared" si="5"/>
        <v>820.83044080750028</v>
      </c>
      <c r="T11">
        <v>139.98264020879571</v>
      </c>
      <c r="U11">
        <f t="shared" si="12"/>
        <v>966.42433650786927</v>
      </c>
      <c r="V11">
        <f t="shared" si="6"/>
        <v>0.4575300385791885</v>
      </c>
      <c r="W11">
        <f t="shared" si="13"/>
        <v>0.46020206500374727</v>
      </c>
    </row>
    <row r="12" spans="1:28">
      <c r="A12" s="2">
        <v>9</v>
      </c>
      <c r="B12" s="2">
        <v>65.75</v>
      </c>
      <c r="C12">
        <f t="shared" si="0"/>
        <v>0.974528933331124</v>
      </c>
      <c r="D12" s="21">
        <v>0.75556500288534501</v>
      </c>
      <c r="E12">
        <f t="shared" si="1"/>
        <v>3.4060578744507901E-2</v>
      </c>
      <c r="F12" s="22">
        <f t="shared" si="7"/>
        <v>0.75556500288534501</v>
      </c>
      <c r="G12">
        <f t="shared" si="8"/>
        <v>3.3487047277202753E-2</v>
      </c>
      <c r="H12" s="21">
        <v>0.90442935089282905</v>
      </c>
      <c r="I12">
        <f t="shared" si="2"/>
        <v>1.1685527897624535E-2</v>
      </c>
      <c r="J12" s="22">
        <f t="shared" si="9"/>
        <v>0.90442935089282905</v>
      </c>
      <c r="K12">
        <f t="shared" si="10"/>
        <v>1.1617517287564993E-2</v>
      </c>
      <c r="L12">
        <v>8.3095383084330621E-4</v>
      </c>
      <c r="M12">
        <f t="shared" si="3"/>
        <v>1.1617517287564993E-2</v>
      </c>
      <c r="N12">
        <f t="shared" si="11"/>
        <v>0.90442935089282905</v>
      </c>
      <c r="O12">
        <v>0.75556500288534501</v>
      </c>
      <c r="P12">
        <v>0.14886434800748405</v>
      </c>
      <c r="Q12">
        <v>9.5570649107170946E-2</v>
      </c>
      <c r="R12">
        <f t="shared" si="4"/>
        <v>1</v>
      </c>
      <c r="S12">
        <f t="shared" si="5"/>
        <v>793.34325302961236</v>
      </c>
      <c r="T12">
        <v>156.30756540785825</v>
      </c>
      <c r="U12">
        <f t="shared" si="12"/>
        <v>955.23194972688339</v>
      </c>
      <c r="V12">
        <f t="shared" si="6"/>
        <v>0.45221467544641453</v>
      </c>
      <c r="W12">
        <f t="shared" si="13"/>
        <v>0.45487235701280149</v>
      </c>
    </row>
    <row r="13" spans="1:28">
      <c r="A13" s="2">
        <v>10</v>
      </c>
      <c r="B13" s="2">
        <v>65.833333300000007</v>
      </c>
      <c r="C13">
        <f t="shared" si="0"/>
        <v>0.97173916859672327</v>
      </c>
      <c r="D13" s="21">
        <v>0.72998495623555804</v>
      </c>
      <c r="E13">
        <f t="shared" si="1"/>
        <v>3.444189153505018E-2</v>
      </c>
      <c r="F13" s="22">
        <f t="shared" si="7"/>
        <v>0.72998495623555804</v>
      </c>
      <c r="G13">
        <f t="shared" si="8"/>
        <v>3.3855520772007819E-2</v>
      </c>
      <c r="H13" s="21">
        <v>0.89386381696374895</v>
      </c>
      <c r="I13">
        <f t="shared" si="2"/>
        <v>1.1750759767144564E-2</v>
      </c>
      <c r="J13" s="22">
        <f t="shared" si="9"/>
        <v>0.89386381696374895</v>
      </c>
      <c r="K13">
        <f t="shared" si="10"/>
        <v>1.1681989221877909E-2</v>
      </c>
      <c r="L13">
        <v>8.3095383084330621E-4</v>
      </c>
      <c r="M13">
        <f t="shared" si="3"/>
        <v>1.1681989221877909E-2</v>
      </c>
      <c r="N13">
        <f t="shared" si="11"/>
        <v>0.89386381696374895</v>
      </c>
      <c r="O13">
        <v>0.72998495623555804</v>
      </c>
      <c r="P13">
        <v>0.16387886072819091</v>
      </c>
      <c r="Q13">
        <v>0.10613618303625105</v>
      </c>
      <c r="R13">
        <f t="shared" si="4"/>
        <v>1</v>
      </c>
      <c r="S13">
        <f t="shared" si="5"/>
        <v>766.48420404733611</v>
      </c>
      <c r="T13">
        <v>172.07280376460045</v>
      </c>
      <c r="U13">
        <f t="shared" si="12"/>
        <v>944.10391312470358</v>
      </c>
      <c r="V13">
        <f t="shared" si="6"/>
        <v>0.44693190848187447</v>
      </c>
      <c r="W13">
        <f t="shared" si="13"/>
        <v>0.44957329196414453</v>
      </c>
    </row>
    <row r="14" spans="1:28">
      <c r="A14" s="2">
        <v>11</v>
      </c>
      <c r="B14" s="2">
        <v>65.916666699999993</v>
      </c>
      <c r="C14">
        <f t="shared" si="0"/>
        <v>0.96895739006674086</v>
      </c>
      <c r="D14" s="21">
        <v>0.705026460547447</v>
      </c>
      <c r="E14">
        <f t="shared" si="1"/>
        <v>3.4788591234246366E-2</v>
      </c>
      <c r="F14" s="22">
        <f t="shared" si="7"/>
        <v>0.705026460547447</v>
      </c>
      <c r="G14">
        <f t="shared" si="8"/>
        <v>3.4190424713433698E-2</v>
      </c>
      <c r="H14" s="21">
        <v>0.88336959156527195</v>
      </c>
      <c r="I14">
        <f t="shared" si="2"/>
        <v>1.1809757027164877E-2</v>
      </c>
      <c r="J14" s="22">
        <f t="shared" si="9"/>
        <v>0.88336959156527195</v>
      </c>
      <c r="K14">
        <f t="shared" si="10"/>
        <v>1.1740295556568636E-2</v>
      </c>
      <c r="L14">
        <v>8.3095383084330621E-4</v>
      </c>
      <c r="M14">
        <f t="shared" si="3"/>
        <v>1.1740295556568636E-2</v>
      </c>
      <c r="N14">
        <f t="shared" si="11"/>
        <v>0.88336959156527195</v>
      </c>
      <c r="O14">
        <v>0.705026460547447</v>
      </c>
      <c r="P14">
        <v>0.17834313101782495</v>
      </c>
      <c r="Q14">
        <v>0.11663040843472805</v>
      </c>
      <c r="R14">
        <f t="shared" si="4"/>
        <v>1</v>
      </c>
      <c r="S14">
        <f t="shared" si="5"/>
        <v>740.27778357481941</v>
      </c>
      <c r="T14">
        <v>187.26028756871619</v>
      </c>
      <c r="U14">
        <f t="shared" si="12"/>
        <v>933.04753947773611</v>
      </c>
      <c r="V14">
        <f t="shared" si="6"/>
        <v>0.44168479578263597</v>
      </c>
      <c r="W14">
        <f t="shared" si="13"/>
        <v>0.44430835213225522</v>
      </c>
    </row>
    <row r="15" spans="1:28">
      <c r="A15" s="2">
        <v>12</v>
      </c>
      <c r="B15" s="2">
        <v>66</v>
      </c>
      <c r="C15">
        <f t="shared" si="0"/>
        <v>0.96618357487922713</v>
      </c>
      <c r="D15" s="21">
        <v>0.68070472566192297</v>
      </c>
      <c r="E15">
        <f t="shared" si="1"/>
        <v>3.5106712013256658E-2</v>
      </c>
      <c r="F15" s="22">
        <f t="shared" si="7"/>
        <v>0.68070472566192297</v>
      </c>
      <c r="G15">
        <f t="shared" si="8"/>
        <v>3.449761994271594E-2</v>
      </c>
      <c r="H15" s="21">
        <v>0.87295153945783899</v>
      </c>
      <c r="I15">
        <f t="shared" si="2"/>
        <v>1.186363258350318E-2</v>
      </c>
      <c r="J15" s="22">
        <f t="shared" si="9"/>
        <v>0.87295153945783899</v>
      </c>
      <c r="K15">
        <f t="shared" si="10"/>
        <v>1.1793537163728773E-2</v>
      </c>
      <c r="L15">
        <v>9.342859765884004E-4</v>
      </c>
      <c r="M15">
        <f t="shared" si="3"/>
        <v>1.1793537163728773E-2</v>
      </c>
      <c r="N15">
        <f t="shared" si="11"/>
        <v>0.87295153945783899</v>
      </c>
      <c r="O15">
        <v>0.68070472566192297</v>
      </c>
      <c r="P15">
        <v>0.19224681379591602</v>
      </c>
      <c r="Q15">
        <v>0.12704846054216101</v>
      </c>
      <c r="R15">
        <f t="shared" si="4"/>
        <v>1</v>
      </c>
      <c r="S15">
        <f t="shared" si="5"/>
        <v>714.73996194501922</v>
      </c>
      <c r="T15">
        <v>201.85915448571183</v>
      </c>
      <c r="U15">
        <f t="shared" si="12"/>
        <v>922.0685937871333</v>
      </c>
      <c r="V15">
        <f t="shared" si="6"/>
        <v>0.43647576972891949</v>
      </c>
      <c r="W15">
        <f t="shared" si="13"/>
        <v>0.43908028275577771</v>
      </c>
    </row>
    <row r="16" spans="1:28">
      <c r="A16" s="2">
        <v>13</v>
      </c>
      <c r="B16" s="2">
        <v>66.083333300000007</v>
      </c>
      <c r="C16">
        <f t="shared" si="0"/>
        <v>0.96341770023767914</v>
      </c>
      <c r="D16" s="21">
        <v>0.65702876983454095</v>
      </c>
      <c r="E16">
        <f t="shared" si="1"/>
        <v>3.540081555772525E-2</v>
      </c>
      <c r="F16" s="22">
        <f t="shared" si="7"/>
        <v>0.65702876983454095</v>
      </c>
      <c r="G16">
        <f t="shared" si="8"/>
        <v>3.4781535862497992E-2</v>
      </c>
      <c r="H16" s="21">
        <v>0.86261357402108596</v>
      </c>
      <c r="I16">
        <f t="shared" si="2"/>
        <v>1.1913223680363664E-2</v>
      </c>
      <c r="J16" s="22">
        <f t="shared" si="9"/>
        <v>0.86261357402108596</v>
      </c>
      <c r="K16">
        <f t="shared" si="10"/>
        <v>1.1842542191028871E-2</v>
      </c>
      <c r="L16">
        <v>9.342859765884004E-4</v>
      </c>
      <c r="M16">
        <f t="shared" si="3"/>
        <v>1.1842542191028871E-2</v>
      </c>
      <c r="N16">
        <f t="shared" si="11"/>
        <v>0.86261357402108596</v>
      </c>
      <c r="O16">
        <v>0.65702876983454095</v>
      </c>
      <c r="P16">
        <v>0.20558480418654501</v>
      </c>
      <c r="Q16">
        <v>0.13738642597891404</v>
      </c>
      <c r="R16">
        <f t="shared" si="4"/>
        <v>1</v>
      </c>
      <c r="S16">
        <f t="shared" si="5"/>
        <v>689.88020832626808</v>
      </c>
      <c r="T16">
        <v>215.86404439587227</v>
      </c>
      <c r="U16">
        <f t="shared" si="12"/>
        <v>911.17168457643561</v>
      </c>
      <c r="V16">
        <f t="shared" si="6"/>
        <v>0.43130678701054298</v>
      </c>
      <c r="W16">
        <f t="shared" si="13"/>
        <v>0.43389127836973124</v>
      </c>
    </row>
    <row r="17" spans="1:23">
      <c r="A17" s="2">
        <v>14</v>
      </c>
      <c r="B17" s="2">
        <v>66.166666699999993</v>
      </c>
      <c r="C17">
        <f t="shared" si="0"/>
        <v>0.96065974341085225</v>
      </c>
      <c r="D17" s="21">
        <v>0.63400279945460802</v>
      </c>
      <c r="E17">
        <f t="shared" si="1"/>
        <v>3.5674437257343934E-2</v>
      </c>
      <c r="F17" s="22">
        <f t="shared" si="7"/>
        <v>0.63400279945460802</v>
      </c>
      <c r="G17">
        <f t="shared" si="8"/>
        <v>3.5045604450063217E-2</v>
      </c>
      <c r="H17" s="21">
        <v>0.85235886732740596</v>
      </c>
      <c r="I17">
        <f t="shared" si="2"/>
        <v>1.1959176330507382E-2</v>
      </c>
      <c r="J17" s="22">
        <f t="shared" si="9"/>
        <v>0.85235886732740596</v>
      </c>
      <c r="K17">
        <f t="shared" si="10"/>
        <v>1.1887949601671055E-2</v>
      </c>
      <c r="L17">
        <v>9.342859765884004E-4</v>
      </c>
      <c r="M17">
        <f t="shared" si="3"/>
        <v>1.1887949601671055E-2</v>
      </c>
      <c r="N17">
        <f t="shared" si="11"/>
        <v>0.85235886732740596</v>
      </c>
      <c r="O17">
        <v>0.63400279945460802</v>
      </c>
      <c r="P17">
        <v>0.21835606787279793</v>
      </c>
      <c r="Q17">
        <v>0.14764113267259404</v>
      </c>
      <c r="R17">
        <f t="shared" si="4"/>
        <v>1</v>
      </c>
      <c r="S17">
        <f t="shared" si="5"/>
        <v>665.70293942733861</v>
      </c>
      <c r="T17">
        <v>229.27387126643782</v>
      </c>
      <c r="U17">
        <f t="shared" si="12"/>
        <v>900.36053170795833</v>
      </c>
      <c r="V17">
        <f t="shared" si="6"/>
        <v>0.42617943366370298</v>
      </c>
      <c r="W17">
        <f t="shared" si="13"/>
        <v>0.42874311033712298</v>
      </c>
    </row>
    <row r="18" spans="1:23">
      <c r="A18" s="2">
        <v>15</v>
      </c>
      <c r="B18" s="2">
        <v>66.25</v>
      </c>
      <c r="C18">
        <f t="shared" si="0"/>
        <v>0.95790968173257507</v>
      </c>
      <c r="D18" s="21">
        <v>0.61162722982547602</v>
      </c>
      <c r="E18">
        <f t="shared" si="1"/>
        <v>3.5930374628792457E-2</v>
      </c>
      <c r="F18" s="22">
        <f t="shared" si="7"/>
        <v>0.61162722982547602</v>
      </c>
      <c r="G18">
        <f t="shared" si="8"/>
        <v>3.5292540740167522E-2</v>
      </c>
      <c r="H18" s="21">
        <v>0.84219000193070104</v>
      </c>
      <c r="I18">
        <f t="shared" si="2"/>
        <v>1.2001999644802615E-2</v>
      </c>
      <c r="J18" s="22">
        <f t="shared" si="9"/>
        <v>0.84219000193070104</v>
      </c>
      <c r="K18">
        <f t="shared" si="10"/>
        <v>1.1930262928559254E-2</v>
      </c>
      <c r="L18">
        <v>9.342859765884004E-4</v>
      </c>
      <c r="M18">
        <f t="shared" si="3"/>
        <v>1.1930262928559254E-2</v>
      </c>
      <c r="N18">
        <f t="shared" si="11"/>
        <v>0.84219000193070104</v>
      </c>
      <c r="O18">
        <v>0.61162722982547602</v>
      </c>
      <c r="P18">
        <v>0.23056277210522502</v>
      </c>
      <c r="Q18">
        <v>0.15780999806929896</v>
      </c>
      <c r="R18">
        <f t="shared" si="4"/>
        <v>1</v>
      </c>
      <c r="S18">
        <f t="shared" si="5"/>
        <v>642.20859131675002</v>
      </c>
      <c r="T18">
        <v>242.09091071048627</v>
      </c>
      <c r="U18">
        <f t="shared" si="12"/>
        <v>889.6381563605064</v>
      </c>
      <c r="V18">
        <f t="shared" si="6"/>
        <v>0.42109500096535052</v>
      </c>
      <c r="W18">
        <f t="shared" si="13"/>
        <v>0.42363721731452675</v>
      </c>
    </row>
    <row r="19" spans="1:23">
      <c r="A19" s="2">
        <v>16</v>
      </c>
      <c r="B19" s="2">
        <v>66.333333300000007</v>
      </c>
      <c r="C19">
        <f t="shared" si="0"/>
        <v>0.95516749260156175</v>
      </c>
      <c r="D19" s="21">
        <v>0.589899459453612</v>
      </c>
      <c r="E19">
        <f t="shared" si="1"/>
        <v>3.6170880669250734E-2</v>
      </c>
      <c r="F19" s="22">
        <f t="shared" si="7"/>
        <v>0.589899459453612</v>
      </c>
      <c r="G19">
        <f t="shared" si="8"/>
        <v>3.5524530812769517E-2</v>
      </c>
      <c r="H19" s="21">
        <v>0.83210908348302703</v>
      </c>
      <c r="I19">
        <f t="shared" si="2"/>
        <v>1.2042102102988048E-2</v>
      </c>
      <c r="J19" s="22">
        <f t="shared" si="9"/>
        <v>0.83210908348302703</v>
      </c>
      <c r="K19">
        <f t="shared" si="10"/>
        <v>1.1969886159374665E-2</v>
      </c>
      <c r="L19">
        <v>9.342859765884004E-4</v>
      </c>
      <c r="M19">
        <f t="shared" si="3"/>
        <v>1.1969886159374665E-2</v>
      </c>
      <c r="N19">
        <f t="shared" si="11"/>
        <v>0.83210908348302703</v>
      </c>
      <c r="O19">
        <v>0.589899459453612</v>
      </c>
      <c r="P19">
        <v>0.24220962402941504</v>
      </c>
      <c r="Q19">
        <v>0.16789091651697297</v>
      </c>
      <c r="R19">
        <f t="shared" si="4"/>
        <v>1</v>
      </c>
      <c r="S19">
        <f t="shared" si="5"/>
        <v>619.39443242629272</v>
      </c>
      <c r="T19">
        <v>254.32010523088579</v>
      </c>
      <c r="U19">
        <f t="shared" si="12"/>
        <v>879.00701984220746</v>
      </c>
      <c r="V19">
        <f t="shared" si="6"/>
        <v>0.41605454174151352</v>
      </c>
      <c r="W19">
        <f t="shared" si="13"/>
        <v>0.41857477135343202</v>
      </c>
    </row>
    <row r="20" spans="1:23">
      <c r="A20" s="2">
        <v>17</v>
      </c>
      <c r="B20" s="2">
        <v>66.416666699999993</v>
      </c>
      <c r="C20">
        <f t="shared" si="0"/>
        <v>0.95243315348122637</v>
      </c>
      <c r="D20" s="21">
        <v>0.56881446969697202</v>
      </c>
      <c r="E20">
        <f t="shared" si="1"/>
        <v>3.6397797518463802E-2</v>
      </c>
      <c r="F20" s="22">
        <f t="shared" si="7"/>
        <v>0.56881446969697202</v>
      </c>
      <c r="G20">
        <f t="shared" si="8"/>
        <v>3.5743361718232003E-2</v>
      </c>
      <c r="H20" s="21">
        <v>0.82211782619294504</v>
      </c>
      <c r="I20">
        <f t="shared" si="2"/>
        <v>1.2079816531421771E-2</v>
      </c>
      <c r="J20" s="22">
        <f t="shared" si="9"/>
        <v>0.82211782619294504</v>
      </c>
      <c r="K20">
        <f t="shared" si="10"/>
        <v>1.2007148447726101E-2</v>
      </c>
      <c r="L20">
        <v>9.342859765884004E-4</v>
      </c>
      <c r="M20">
        <f t="shared" si="3"/>
        <v>1.2007148447726101E-2</v>
      </c>
      <c r="N20">
        <f t="shared" si="11"/>
        <v>0.82211782619294504</v>
      </c>
      <c r="O20">
        <v>0.56881446969697202</v>
      </c>
      <c r="P20">
        <v>0.25330335649597302</v>
      </c>
      <c r="Q20">
        <v>0.17788217380705496</v>
      </c>
      <c r="R20">
        <f t="shared" si="4"/>
        <v>1</v>
      </c>
      <c r="S20">
        <f t="shared" si="5"/>
        <v>597.25519318182069</v>
      </c>
      <c r="T20">
        <v>265.96852432077168</v>
      </c>
      <c r="U20">
        <f t="shared" si="12"/>
        <v>868.46912757988537</v>
      </c>
      <c r="V20">
        <f t="shared" si="6"/>
        <v>0.41105891309647252</v>
      </c>
      <c r="W20">
        <f t="shared" si="13"/>
        <v>0.41355672741899302</v>
      </c>
    </row>
    <row r="21" spans="1:23">
      <c r="A21" s="2">
        <v>18</v>
      </c>
      <c r="B21" s="2">
        <v>66.5</v>
      </c>
      <c r="C21">
        <f t="shared" si="0"/>
        <v>0.94970664189949872</v>
      </c>
      <c r="D21" s="21">
        <v>0.54836529733195505</v>
      </c>
      <c r="E21">
        <f t="shared" si="1"/>
        <v>3.6612651315519953E-2</v>
      </c>
      <c r="F21" s="22">
        <f t="shared" si="7"/>
        <v>0.54836529733195505</v>
      </c>
      <c r="G21">
        <f t="shared" si="8"/>
        <v>3.595051366381552E-2</v>
      </c>
      <c r="H21" s="21">
        <v>0.81221761894718003</v>
      </c>
      <c r="I21">
        <f t="shared" si="2"/>
        <v>1.2115417766536631E-2</v>
      </c>
      <c r="J21" s="22">
        <f t="shared" si="9"/>
        <v>0.81221761894718003</v>
      </c>
      <c r="K21">
        <f t="shared" si="10"/>
        <v>1.2042321587418692E-2</v>
      </c>
      <c r="L21">
        <v>9.342859765884004E-4</v>
      </c>
      <c r="M21">
        <f t="shared" si="3"/>
        <v>1.2042321587418692E-2</v>
      </c>
      <c r="N21">
        <f t="shared" si="11"/>
        <v>0.81221761894718003</v>
      </c>
      <c r="O21">
        <v>0.54836529733195505</v>
      </c>
      <c r="P21">
        <v>0.26385232161522498</v>
      </c>
      <c r="Q21">
        <v>0.18778238105281997</v>
      </c>
      <c r="R21">
        <f t="shared" si="4"/>
        <v>1</v>
      </c>
      <c r="S21">
        <f t="shared" si="5"/>
        <v>575.78356219855289</v>
      </c>
      <c r="T21">
        <v>277.04493769598622</v>
      </c>
      <c r="U21">
        <f t="shared" si="12"/>
        <v>858.02610869856574</v>
      </c>
      <c r="V21">
        <f t="shared" si="6"/>
        <v>0.40610880947359002</v>
      </c>
      <c r="W21">
        <f t="shared" si="13"/>
        <v>0.40858386128503127</v>
      </c>
    </row>
    <row r="22" spans="1:23">
      <c r="A22" s="2">
        <v>19</v>
      </c>
      <c r="B22" s="2">
        <v>66.583333300000007</v>
      </c>
      <c r="C22">
        <f t="shared" si="0"/>
        <v>0.94698793544863802</v>
      </c>
      <c r="D22" s="21">
        <v>0.52854341249008496</v>
      </c>
      <c r="E22">
        <f t="shared" si="1"/>
        <v>3.6816721063859935E-2</v>
      </c>
      <c r="F22" s="22">
        <f t="shared" si="7"/>
        <v>0.52854341249008496</v>
      </c>
      <c r="G22">
        <f t="shared" si="8"/>
        <v>3.6147226927583653E-2</v>
      </c>
      <c r="H22" s="21">
        <v>0.80240957734380103</v>
      </c>
      <c r="I22">
        <f t="shared" si="2"/>
        <v>1.2149135436023785E-2</v>
      </c>
      <c r="J22" s="22">
        <f t="shared" si="9"/>
        <v>0.80240957734380103</v>
      </c>
      <c r="K22">
        <f t="shared" si="10"/>
        <v>1.2075632656297741E-2</v>
      </c>
      <c r="L22">
        <v>9.342859765884004E-4</v>
      </c>
      <c r="M22">
        <f t="shared" si="3"/>
        <v>1.2075632656297741E-2</v>
      </c>
      <c r="N22">
        <f t="shared" si="11"/>
        <v>0.80240957734380103</v>
      </c>
      <c r="O22">
        <v>0.52854341249008496</v>
      </c>
      <c r="P22">
        <v>0.27386616485371607</v>
      </c>
      <c r="Q22">
        <v>0.19759042265619897</v>
      </c>
      <c r="R22">
        <f t="shared" si="4"/>
        <v>1</v>
      </c>
      <c r="S22">
        <f t="shared" si="5"/>
        <v>554.97058311458932</v>
      </c>
      <c r="T22">
        <v>287.55947309640186</v>
      </c>
      <c r="U22">
        <f t="shared" si="12"/>
        <v>847.6792780527652</v>
      </c>
      <c r="V22">
        <f t="shared" si="6"/>
        <v>0.40120478867190051</v>
      </c>
      <c r="W22">
        <f t="shared" si="13"/>
        <v>0.40365679907274526</v>
      </c>
    </row>
    <row r="23" spans="1:23">
      <c r="A23" s="2">
        <v>20</v>
      </c>
      <c r="B23" s="2">
        <v>66.666666699999993</v>
      </c>
      <c r="C23">
        <f t="shared" si="0"/>
        <v>0.94427701178505086</v>
      </c>
      <c r="D23" s="21">
        <v>0.50933902470010906</v>
      </c>
      <c r="E23">
        <f t="shared" si="1"/>
        <v>3.7011089629781765E-2</v>
      </c>
      <c r="F23" s="22">
        <f t="shared" si="7"/>
        <v>0.50933902470010906</v>
      </c>
      <c r="G23">
        <f t="shared" si="8"/>
        <v>3.6334551403260917E-2</v>
      </c>
      <c r="H23" s="21">
        <v>0.79269458525183001</v>
      </c>
      <c r="I23">
        <f t="shared" si="2"/>
        <v>1.2181163394800068E-2</v>
      </c>
      <c r="J23" s="22">
        <f t="shared" si="9"/>
        <v>0.79269458525183001</v>
      </c>
      <c r="K23">
        <f t="shared" si="10"/>
        <v>1.2107273350512981E-2</v>
      </c>
      <c r="L23">
        <v>9.342859765884004E-4</v>
      </c>
      <c r="M23">
        <f t="shared" si="3"/>
        <v>1.2107273350512981E-2</v>
      </c>
      <c r="N23">
        <f t="shared" si="11"/>
        <v>0.79269458525183001</v>
      </c>
      <c r="O23">
        <v>0.50933902470010906</v>
      </c>
      <c r="P23">
        <v>0.28335556055172095</v>
      </c>
      <c r="Q23">
        <v>0.20730541474816999</v>
      </c>
      <c r="R23">
        <f t="shared" si="4"/>
        <v>1</v>
      </c>
      <c r="S23">
        <f t="shared" si="5"/>
        <v>534.80597593511459</v>
      </c>
      <c r="T23">
        <v>297.52333857930699</v>
      </c>
      <c r="U23">
        <f t="shared" si="12"/>
        <v>837.42968536270644</v>
      </c>
      <c r="V23">
        <f t="shared" si="6"/>
        <v>0.396347292625915</v>
      </c>
      <c r="W23">
        <f t="shared" si="13"/>
        <v>0.39877604064890776</v>
      </c>
    </row>
    <row r="24" spans="1:23">
      <c r="A24" s="2">
        <v>21</v>
      </c>
      <c r="B24" s="2">
        <v>66.75</v>
      </c>
      <c r="C24">
        <f t="shared" si="0"/>
        <v>0.94157384862910565</v>
      </c>
      <c r="D24" s="21">
        <v>0.490741333338922</v>
      </c>
      <c r="E24">
        <f t="shared" si="1"/>
        <v>3.7196682177486375E-2</v>
      </c>
      <c r="F24" s="22">
        <f t="shared" si="7"/>
        <v>0.490741333338922</v>
      </c>
      <c r="G24">
        <f t="shared" si="8"/>
        <v>3.6513383933495125E-2</v>
      </c>
      <c r="H24" s="21">
        <v>0.78307332844499999</v>
      </c>
      <c r="I24">
        <f t="shared" si="2"/>
        <v>1.221166681578831E-2</v>
      </c>
      <c r="J24" s="22">
        <f t="shared" si="9"/>
        <v>0.78307332844499999</v>
      </c>
      <c r="K24">
        <f t="shared" si="10"/>
        <v>1.2137406998653177E-2</v>
      </c>
      <c r="L24">
        <v>9.342859765884004E-4</v>
      </c>
      <c r="M24">
        <f t="shared" si="3"/>
        <v>1.2137406998653177E-2</v>
      </c>
      <c r="N24">
        <f t="shared" si="11"/>
        <v>0.78307332844499999</v>
      </c>
      <c r="O24">
        <v>0.490741333338922</v>
      </c>
      <c r="P24">
        <v>0.29233199510607799</v>
      </c>
      <c r="Q24">
        <v>0.21692667155500001</v>
      </c>
      <c r="R24">
        <f t="shared" si="4"/>
        <v>1</v>
      </c>
      <c r="S24">
        <f t="shared" si="5"/>
        <v>515.27840000586809</v>
      </c>
      <c r="T24">
        <v>306.94859486138188</v>
      </c>
      <c r="U24">
        <f t="shared" si="12"/>
        <v>827.27815469083578</v>
      </c>
      <c r="V24">
        <f t="shared" si="6"/>
        <v>0.3915366642225</v>
      </c>
      <c r="W24">
        <f t="shared" si="13"/>
        <v>0.39394197842420753</v>
      </c>
    </row>
    <row r="25" spans="1:23">
      <c r="A25" s="2">
        <v>22</v>
      </c>
      <c r="B25" s="2">
        <v>66.833333300000007</v>
      </c>
      <c r="C25">
        <f t="shared" si="0"/>
        <v>0.93887842376495012</v>
      </c>
      <c r="D25" s="21">
        <v>0.47273873442562298</v>
      </c>
      <c r="E25">
        <f t="shared" si="1"/>
        <v>3.7374295590290714E-2</v>
      </c>
      <c r="F25" s="22">
        <f t="shared" si="7"/>
        <v>0.47273873442562298</v>
      </c>
      <c r="G25">
        <f t="shared" si="8"/>
        <v>3.6684496883138684E-2</v>
      </c>
      <c r="H25" s="21">
        <v>0.77354632214215802</v>
      </c>
      <c r="I25">
        <f t="shared" si="2"/>
        <v>1.2240787602838182E-2</v>
      </c>
      <c r="J25" s="22">
        <f t="shared" si="9"/>
        <v>0.77354632214215802</v>
      </c>
      <c r="K25">
        <f t="shared" si="10"/>
        <v>1.2166173915998835E-2</v>
      </c>
      <c r="L25">
        <v>9.342859765884004E-4</v>
      </c>
      <c r="M25">
        <f t="shared" si="3"/>
        <v>1.2166173915998835E-2</v>
      </c>
      <c r="N25">
        <f t="shared" si="11"/>
        <v>0.77354632214215802</v>
      </c>
      <c r="O25">
        <v>0.47273873442562298</v>
      </c>
      <c r="P25">
        <v>0.30080758771653504</v>
      </c>
      <c r="Q25">
        <v>0.22645367785784198</v>
      </c>
      <c r="R25">
        <f t="shared" si="4"/>
        <v>1</v>
      </c>
      <c r="S25">
        <f t="shared" si="5"/>
        <v>496.37567114690415</v>
      </c>
      <c r="T25">
        <v>315.84796710236179</v>
      </c>
      <c r="U25">
        <f t="shared" si="12"/>
        <v>817.22531655825799</v>
      </c>
      <c r="V25">
        <f t="shared" si="6"/>
        <v>0.38677316107107901</v>
      </c>
      <c r="W25">
        <f t="shared" si="13"/>
        <v>0.38915491264678947</v>
      </c>
    </row>
    <row r="26" spans="1:23">
      <c r="A26" s="2">
        <v>23</v>
      </c>
      <c r="B26" s="2">
        <v>66.916666699999993</v>
      </c>
      <c r="C26">
        <f t="shared" si="0"/>
        <v>0.93619071504032925</v>
      </c>
      <c r="D26" s="21">
        <v>0.45531899265687598</v>
      </c>
      <c r="E26">
        <f t="shared" si="1"/>
        <v>3.7544621307977727E-2</v>
      </c>
      <c r="F26" s="22">
        <f t="shared" si="7"/>
        <v>0.45531899265687598</v>
      </c>
      <c r="G26">
        <f t="shared" si="8"/>
        <v>3.6848560315058565E-2</v>
      </c>
      <c r="H26" s="21">
        <v>0.76411393379635895</v>
      </c>
      <c r="I26">
        <f t="shared" si="2"/>
        <v>1.226864858145185E-2</v>
      </c>
      <c r="J26" s="22">
        <f t="shared" si="9"/>
        <v>0.76411393379635895</v>
      </c>
      <c r="K26">
        <f t="shared" si="10"/>
        <v>1.2193695549709616E-2</v>
      </c>
      <c r="L26">
        <v>9.342859765884004E-4</v>
      </c>
      <c r="M26">
        <f t="shared" si="3"/>
        <v>1.2193695549709616E-2</v>
      </c>
      <c r="N26">
        <f t="shared" si="11"/>
        <v>0.76411393379635895</v>
      </c>
      <c r="O26">
        <v>0.45531899265687598</v>
      </c>
      <c r="P26">
        <v>0.30879494113948297</v>
      </c>
      <c r="Q26">
        <v>0.23588606620364105</v>
      </c>
      <c r="R26">
        <f t="shared" si="4"/>
        <v>1</v>
      </c>
      <c r="S26">
        <f t="shared" si="5"/>
        <v>478.08494228971983</v>
      </c>
      <c r="T26">
        <v>324.23468819645711</v>
      </c>
      <c r="U26">
        <f t="shared" si="12"/>
        <v>807.27163436772139</v>
      </c>
      <c r="V26">
        <f t="shared" si="6"/>
        <v>0.38205696689817947</v>
      </c>
      <c r="W26">
        <f t="shared" si="13"/>
        <v>0.38441506398462921</v>
      </c>
    </row>
    <row r="27" spans="1:23">
      <c r="A27" s="2">
        <v>24</v>
      </c>
      <c r="B27" s="2">
        <v>67</v>
      </c>
      <c r="C27">
        <f t="shared" si="0"/>
        <v>0.93351070036640327</v>
      </c>
      <c r="D27" s="21">
        <v>0.43846938542844599</v>
      </c>
      <c r="E27">
        <f t="shared" si="1"/>
        <v>3.7708263277444427E-2</v>
      </c>
      <c r="F27" s="22">
        <f t="shared" si="7"/>
        <v>0.43846938542844599</v>
      </c>
      <c r="G27">
        <f t="shared" si="8"/>
        <v>3.7006159418277784E-2</v>
      </c>
      <c r="H27" s="21">
        <v>0.75477640213164698</v>
      </c>
      <c r="I27">
        <f t="shared" si="2"/>
        <v>1.2295356784632601E-2</v>
      </c>
      <c r="J27" s="22">
        <f t="shared" si="9"/>
        <v>0.75477640213164698</v>
      </c>
      <c r="K27">
        <f t="shared" si="10"/>
        <v>1.222007772888023E-2</v>
      </c>
      <c r="L27">
        <v>1.0326785273163663E-3</v>
      </c>
      <c r="M27">
        <f t="shared" si="3"/>
        <v>1.222007772888023E-2</v>
      </c>
      <c r="N27">
        <f t="shared" si="11"/>
        <v>0.75477640213164698</v>
      </c>
      <c r="O27">
        <v>0.43846938542844599</v>
      </c>
      <c r="P27">
        <v>0.31630701670320099</v>
      </c>
      <c r="Q27">
        <v>0.24522359786835302</v>
      </c>
      <c r="R27">
        <f t="shared" si="4"/>
        <v>1</v>
      </c>
      <c r="S27">
        <f t="shared" si="5"/>
        <v>200</v>
      </c>
      <c r="T27">
        <v>332.12236753836106</v>
      </c>
      <c r="U27">
        <f t="shared" si="12"/>
        <v>667.22099901226898</v>
      </c>
      <c r="V27">
        <f t="shared" si="6"/>
        <v>0.37738820106582349</v>
      </c>
      <c r="W27">
        <f t="shared" si="13"/>
        <v>0.37972258398200148</v>
      </c>
    </row>
    <row r="28" spans="1:23">
      <c r="A28" s="2">
        <v>25</v>
      </c>
      <c r="B28" s="2">
        <v>67.083333300000007</v>
      </c>
      <c r="C28">
        <f t="shared" si="0"/>
        <v>0.9308383577175644</v>
      </c>
      <c r="D28" s="21">
        <v>0.42217682403242301</v>
      </c>
      <c r="E28">
        <f t="shared" si="1"/>
        <v>3.7865752223277094E-2</v>
      </c>
      <c r="F28" s="22">
        <f t="shared" si="7"/>
        <v>0.42217682403242301</v>
      </c>
      <c r="G28">
        <f t="shared" si="8"/>
        <v>3.7157808361244826E-2</v>
      </c>
      <c r="H28" s="21">
        <v>0.74553385318209398</v>
      </c>
      <c r="I28">
        <f t="shared" si="2"/>
        <v>1.2321006058985673E-2</v>
      </c>
      <c r="J28" s="22">
        <f t="shared" si="9"/>
        <v>0.74553385318209398</v>
      </c>
      <c r="K28">
        <f t="shared" si="10"/>
        <v>1.2245413242186864E-2</v>
      </c>
      <c r="L28">
        <v>1.0326785273163663E-3</v>
      </c>
      <c r="M28">
        <f t="shared" si="3"/>
        <v>1.2245413242186864E-2</v>
      </c>
      <c r="N28">
        <f t="shared" si="11"/>
        <v>0.74553385318209398</v>
      </c>
      <c r="O28">
        <v>0.42217682403242301</v>
      </c>
      <c r="P28">
        <v>0.32335702914967096</v>
      </c>
      <c r="Q28">
        <v>0.25446614681790602</v>
      </c>
      <c r="R28">
        <f t="shared" si="4"/>
        <v>1</v>
      </c>
      <c r="S28">
        <f t="shared" si="5"/>
        <v>200</v>
      </c>
      <c r="T28">
        <v>339.5248806071545</v>
      </c>
      <c r="U28">
        <f t="shared" si="12"/>
        <v>535.82362407275775</v>
      </c>
      <c r="V28">
        <f t="shared" si="6"/>
        <v>0.37276692659104699</v>
      </c>
      <c r="W28">
        <f t="shared" si="13"/>
        <v>0.37507756382843527</v>
      </c>
    </row>
    <row r="29" spans="1:23">
      <c r="A29" s="2">
        <v>26</v>
      </c>
      <c r="B29" s="2">
        <v>67.166666699999993</v>
      </c>
      <c r="C29">
        <f t="shared" si="0"/>
        <v>0.92817366513125843</v>
      </c>
      <c r="D29" s="21">
        <v>0.40642795607716398</v>
      </c>
      <c r="E29">
        <f t="shared" si="1"/>
        <v>3.8017557110548626E-2</v>
      </c>
      <c r="F29" s="22">
        <f t="shared" si="7"/>
        <v>0.40642795607716398</v>
      </c>
      <c r="G29">
        <f t="shared" si="8"/>
        <v>3.7303961417952003E-2</v>
      </c>
      <c r="H29" s="21">
        <v>0.73638631391069997</v>
      </c>
      <c r="I29">
        <f t="shared" si="2"/>
        <v>1.2345679153328242E-2</v>
      </c>
      <c r="J29" s="22">
        <f t="shared" si="9"/>
        <v>0.73638631391069997</v>
      </c>
      <c r="K29">
        <f t="shared" si="10"/>
        <v>1.2269783903642195E-2</v>
      </c>
      <c r="L29">
        <v>1.0326785273163663E-3</v>
      </c>
      <c r="M29">
        <f t="shared" si="3"/>
        <v>1.2269783903642195E-2</v>
      </c>
      <c r="N29">
        <f t="shared" si="11"/>
        <v>0.73638631391069997</v>
      </c>
      <c r="O29">
        <v>0.40642795607716398</v>
      </c>
      <c r="P29">
        <v>0.329958357833536</v>
      </c>
      <c r="Q29">
        <v>0.26361368608930003</v>
      </c>
      <c r="R29">
        <f t="shared" si="4"/>
        <v>1</v>
      </c>
      <c r="S29">
        <f t="shared" si="5"/>
        <v>200</v>
      </c>
      <c r="T29">
        <v>346.45627572521278</v>
      </c>
      <c r="U29">
        <f t="shared" si="12"/>
        <v>542.9905781661837</v>
      </c>
      <c r="V29">
        <f t="shared" si="6"/>
        <v>0.36819315695534999</v>
      </c>
      <c r="W29">
        <f t="shared" si="13"/>
        <v>0.37048004177319849</v>
      </c>
    </row>
    <row r="30" spans="1:23">
      <c r="A30" s="2">
        <v>27</v>
      </c>
      <c r="B30" s="2">
        <v>67.25</v>
      </c>
      <c r="C30">
        <f t="shared" si="0"/>
        <v>0.92551660070780228</v>
      </c>
      <c r="D30" s="21">
        <v>0.39120925232515402</v>
      </c>
      <c r="E30">
        <f t="shared" si="1"/>
        <v>3.8164094439431751E-2</v>
      </c>
      <c r="F30" s="22">
        <f t="shared" si="7"/>
        <v>0.39120925232515402</v>
      </c>
      <c r="G30">
        <f t="shared" si="8"/>
        <v>3.7445021988400162E-2</v>
      </c>
      <c r="H30" s="21">
        <v>0.727333723855624</v>
      </c>
      <c r="I30">
        <f t="shared" si="2"/>
        <v>1.2369449408635333E-2</v>
      </c>
      <c r="J30" s="22">
        <f t="shared" si="9"/>
        <v>0.727333723855624</v>
      </c>
      <c r="K30">
        <f t="shared" si="10"/>
        <v>1.2293262224009394E-2</v>
      </c>
      <c r="L30">
        <v>1.0326785273163663E-3</v>
      </c>
      <c r="M30">
        <f t="shared" si="3"/>
        <v>1.2293262224009394E-2</v>
      </c>
      <c r="N30">
        <f t="shared" si="11"/>
        <v>0.727333723855624</v>
      </c>
      <c r="O30">
        <v>0.39120925232515402</v>
      </c>
      <c r="P30">
        <v>0.33612447153046998</v>
      </c>
      <c r="Q30">
        <v>0.272666276144376</v>
      </c>
      <c r="R30">
        <f t="shared" si="4"/>
        <v>1</v>
      </c>
      <c r="S30">
        <f t="shared" si="5"/>
        <v>200</v>
      </c>
      <c r="T30">
        <v>352.93069510699348</v>
      </c>
      <c r="U30">
        <f t="shared" si="12"/>
        <v>549.69348541610316</v>
      </c>
      <c r="V30">
        <f t="shared" si="6"/>
        <v>0.363666861927812</v>
      </c>
      <c r="W30">
        <f t="shared" si="13"/>
        <v>0.36593000944158099</v>
      </c>
    </row>
    <row r="31" spans="1:23">
      <c r="A31" s="2">
        <v>28</v>
      </c>
      <c r="B31" s="2">
        <v>67.333333300000007</v>
      </c>
      <c r="C31">
        <f t="shared" si="0"/>
        <v>0.92286714261020464</v>
      </c>
      <c r="D31" s="21">
        <v>0.37650708049986598</v>
      </c>
      <c r="E31">
        <f t="shared" si="1"/>
        <v>3.8305735847240376E-2</v>
      </c>
      <c r="F31" s="22">
        <f t="shared" si="7"/>
        <v>0.37650708049986598</v>
      </c>
      <c r="G31">
        <f t="shared" si="8"/>
        <v>3.7581349975506995E-2</v>
      </c>
      <c r="H31" s="21">
        <v>0.71837594515431202</v>
      </c>
      <c r="I31">
        <f t="shared" si="2"/>
        <v>1.2392382137380833E-2</v>
      </c>
      <c r="J31" s="22">
        <f t="shared" si="9"/>
        <v>0.71837594515431202</v>
      </c>
      <c r="K31">
        <f t="shared" si="10"/>
        <v>1.2315912774986448E-2</v>
      </c>
      <c r="L31">
        <v>1.0326785273163663E-3</v>
      </c>
      <c r="M31">
        <f t="shared" si="3"/>
        <v>1.2315912774986448E-2</v>
      </c>
      <c r="N31">
        <f t="shared" si="11"/>
        <v>0.71837594515431202</v>
      </c>
      <c r="O31">
        <v>0.37650708049986598</v>
      </c>
      <c r="P31">
        <v>0.34186886465444605</v>
      </c>
      <c r="Q31">
        <v>0.28162405484568798</v>
      </c>
      <c r="R31">
        <f t="shared" si="4"/>
        <v>1</v>
      </c>
      <c r="S31">
        <f t="shared" si="5"/>
        <v>200</v>
      </c>
      <c r="T31">
        <v>358.96230788716832</v>
      </c>
      <c r="U31">
        <f t="shared" si="12"/>
        <v>555.94650149708093</v>
      </c>
      <c r="V31">
        <f t="shared" si="6"/>
        <v>0.35918797257715601</v>
      </c>
      <c r="W31">
        <f t="shared" si="13"/>
        <v>0.36142741725248401</v>
      </c>
    </row>
    <row r="32" spans="1:23">
      <c r="A32" s="2">
        <v>29</v>
      </c>
      <c r="B32" s="2">
        <v>67.416666699999993</v>
      </c>
      <c r="C32">
        <f t="shared" si="0"/>
        <v>0.92022526906398716</v>
      </c>
      <c r="D32" s="21">
        <v>0.36230776811947901</v>
      </c>
      <c r="E32">
        <f t="shared" si="1"/>
        <v>3.8442814375782897E-2</v>
      </c>
      <c r="F32" s="22">
        <f t="shared" si="7"/>
        <v>0.36230776811947901</v>
      </c>
      <c r="G32">
        <f t="shared" si="8"/>
        <v>3.7713267866132494E-2</v>
      </c>
      <c r="H32" s="21">
        <v>0.70951277122294898</v>
      </c>
      <c r="I32">
        <f t="shared" si="2"/>
        <v>1.2414535758459903E-2</v>
      </c>
      <c r="J32" s="22">
        <f t="shared" si="9"/>
        <v>0.70951277122294898</v>
      </c>
      <c r="K32">
        <f t="shared" si="10"/>
        <v>1.2337793311633205E-2</v>
      </c>
      <c r="L32">
        <v>1.0326785273163663E-3</v>
      </c>
      <c r="M32">
        <f t="shared" si="3"/>
        <v>1.2337793311633205E-2</v>
      </c>
      <c r="N32">
        <f t="shared" si="11"/>
        <v>0.70951277122294898</v>
      </c>
      <c r="O32">
        <v>0.36230776811947901</v>
      </c>
      <c r="P32">
        <v>0.34720500310346997</v>
      </c>
      <c r="Q32">
        <v>0.29048722877705102</v>
      </c>
      <c r="R32">
        <f t="shared" si="4"/>
        <v>1</v>
      </c>
      <c r="S32">
        <f t="shared" si="5"/>
        <v>200</v>
      </c>
      <c r="T32">
        <v>364.56525325864345</v>
      </c>
      <c r="U32">
        <f t="shared" si="12"/>
        <v>561.76378057290594</v>
      </c>
      <c r="V32">
        <f t="shared" si="6"/>
        <v>0.35475638561147449</v>
      </c>
      <c r="W32">
        <f t="shared" si="13"/>
        <v>0.35697217909431522</v>
      </c>
    </row>
    <row r="33" spans="1:23">
      <c r="A33" s="2">
        <v>30</v>
      </c>
      <c r="B33" s="2">
        <v>67.5</v>
      </c>
      <c r="C33">
        <f t="shared" si="0"/>
        <v>0.91759095835700355</v>
      </c>
      <c r="D33" s="21">
        <v>0.34859765603315201</v>
      </c>
      <c r="E33">
        <f t="shared" si="1"/>
        <v>3.8575629676472448E-2</v>
      </c>
      <c r="F33" s="22">
        <f t="shared" si="7"/>
        <v>0.34859765603315201</v>
      </c>
      <c r="G33">
        <f t="shared" si="8"/>
        <v>3.7841065780863326E-2</v>
      </c>
      <c r="H33" s="21">
        <v>0.70074393431284199</v>
      </c>
      <c r="I33">
        <f t="shared" si="2"/>
        <v>1.2435962737983556E-2</v>
      </c>
      <c r="J33" s="22">
        <f t="shared" si="9"/>
        <v>0.70074393431284199</v>
      </c>
      <c r="K33">
        <f t="shared" si="10"/>
        <v>1.2358955702788332E-2</v>
      </c>
      <c r="L33">
        <v>1.0326785273163663E-3</v>
      </c>
      <c r="M33">
        <f t="shared" si="3"/>
        <v>1.2358955702788332E-2</v>
      </c>
      <c r="N33">
        <f t="shared" si="11"/>
        <v>0.70074393431284199</v>
      </c>
      <c r="O33">
        <v>0.34859765603315201</v>
      </c>
      <c r="P33">
        <v>0.35214627827968997</v>
      </c>
      <c r="Q33">
        <v>0.29925606568715801</v>
      </c>
      <c r="R33">
        <f t="shared" si="4"/>
        <v>1</v>
      </c>
      <c r="S33">
        <f t="shared" si="5"/>
        <v>200</v>
      </c>
      <c r="T33">
        <v>369.75359219367448</v>
      </c>
      <c r="U33">
        <f t="shared" si="12"/>
        <v>567.15942272615894</v>
      </c>
      <c r="V33">
        <f t="shared" si="6"/>
        <v>0.35037196715642099</v>
      </c>
      <c r="W33">
        <f t="shared" si="13"/>
        <v>0.35256417638394777</v>
      </c>
    </row>
    <row r="34" spans="1:23">
      <c r="A34" s="2">
        <v>31</v>
      </c>
      <c r="B34" s="2">
        <v>67.583333300000007</v>
      </c>
      <c r="C34">
        <f t="shared" si="0"/>
        <v>0.91496418883926389</v>
      </c>
      <c r="D34" s="21">
        <v>0.335363144036191</v>
      </c>
      <c r="E34">
        <f t="shared" si="1"/>
        <v>3.8704452362808568E-2</v>
      </c>
      <c r="F34" s="22">
        <f t="shared" si="7"/>
        <v>0.335363144036191</v>
      </c>
      <c r="G34">
        <f t="shared" si="8"/>
        <v>3.7965005696143916E-2</v>
      </c>
      <c r="H34" s="21">
        <v>0.69206911212233702</v>
      </c>
      <c r="I34">
        <f t="shared" si="2"/>
        <v>1.2456710374493866E-2</v>
      </c>
      <c r="J34" s="22">
        <f t="shared" si="9"/>
        <v>0.69206911212233702</v>
      </c>
      <c r="K34">
        <f t="shared" si="10"/>
        <v>1.2379446707607378E-2</v>
      </c>
      <c r="L34">
        <v>1.0326785273163663E-3</v>
      </c>
      <c r="M34">
        <f t="shared" si="3"/>
        <v>1.2379446707607378E-2</v>
      </c>
      <c r="N34">
        <f t="shared" si="11"/>
        <v>0.69206911212233702</v>
      </c>
      <c r="O34">
        <v>0.335363144036191</v>
      </c>
      <c r="P34">
        <v>0.35670596808614602</v>
      </c>
      <c r="Q34">
        <v>0.30793088787766298</v>
      </c>
      <c r="R34">
        <f t="shared" si="4"/>
        <v>1</v>
      </c>
      <c r="S34">
        <f t="shared" si="5"/>
        <v>200</v>
      </c>
      <c r="T34">
        <v>374.54126649045332</v>
      </c>
      <c r="U34">
        <f t="shared" si="12"/>
        <v>572.1474293420639</v>
      </c>
      <c r="V34">
        <f t="shared" si="6"/>
        <v>0.34603455606116851</v>
      </c>
      <c r="W34">
        <f t="shared" si="13"/>
        <v>0.34820326160879478</v>
      </c>
    </row>
    <row r="35" spans="1:23">
      <c r="A35" s="2">
        <v>32</v>
      </c>
      <c r="B35" s="2">
        <v>67.666666699999993</v>
      </c>
      <c r="C35">
        <f t="shared" si="0"/>
        <v>0.91234493892275459</v>
      </c>
      <c r="D35" s="21">
        <v>0.322590729703636</v>
      </c>
      <c r="E35">
        <f t="shared" si="1"/>
        <v>3.8829527672933989E-2</v>
      </c>
      <c r="F35" s="22">
        <f t="shared" si="7"/>
        <v>0.322590729703636</v>
      </c>
      <c r="G35">
        <f t="shared" si="8"/>
        <v>3.8085324996764203E-2</v>
      </c>
      <c r="H35" s="21">
        <v>0.68348793360930904</v>
      </c>
      <c r="I35">
        <f t="shared" si="2"/>
        <v>1.2476821458583554E-2</v>
      </c>
      <c r="J35" s="22">
        <f t="shared" si="9"/>
        <v>0.68348793360930904</v>
      </c>
      <c r="K35">
        <f t="shared" si="10"/>
        <v>1.2399308627880301E-2</v>
      </c>
      <c r="L35">
        <v>1.0326785273163663E-3</v>
      </c>
      <c r="M35">
        <f t="shared" si="3"/>
        <v>1.2399308627880301E-2</v>
      </c>
      <c r="N35">
        <f t="shared" si="11"/>
        <v>0.68348793360930904</v>
      </c>
      <c r="O35">
        <v>0.322590729703636</v>
      </c>
      <c r="P35">
        <v>0.36089720390567304</v>
      </c>
      <c r="Q35">
        <v>0.31651206639069096</v>
      </c>
      <c r="R35">
        <f t="shared" si="4"/>
        <v>1</v>
      </c>
      <c r="S35">
        <f t="shared" si="5"/>
        <v>200</v>
      </c>
      <c r="T35">
        <v>378.94206410095671</v>
      </c>
      <c r="U35">
        <f t="shared" si="12"/>
        <v>576.74166529570505</v>
      </c>
      <c r="V35">
        <f t="shared" si="6"/>
        <v>0.34174396680465452</v>
      </c>
      <c r="W35">
        <f t="shared" si="13"/>
        <v>0.34388926143291154</v>
      </c>
    </row>
    <row r="36" spans="1:23">
      <c r="A36" s="2">
        <v>33</v>
      </c>
      <c r="B36" s="2">
        <v>67.75</v>
      </c>
      <c r="C36">
        <f t="shared" si="0"/>
        <v>0.9097331870812615</v>
      </c>
      <c r="D36" s="21">
        <v>0.31026704139262901</v>
      </c>
      <c r="E36">
        <f t="shared" si="1"/>
        <v>3.8951078569863511E-2</v>
      </c>
      <c r="F36" s="22">
        <f t="shared" si="7"/>
        <v>0.31026704139262901</v>
      </c>
      <c r="G36">
        <f t="shared" si="8"/>
        <v>3.8202239482606259E-2</v>
      </c>
      <c r="H36" s="21">
        <v>0.67499998412297102</v>
      </c>
      <c r="I36">
        <f t="shared" si="2"/>
        <v>1.2496334830261479E-2</v>
      </c>
      <c r="J36" s="22">
        <f t="shared" si="9"/>
        <v>0.67499998412297102</v>
      </c>
      <c r="K36">
        <f t="shared" si="10"/>
        <v>1.2418579859216461E-2</v>
      </c>
      <c r="L36">
        <v>1.0326785273163663E-3</v>
      </c>
      <c r="M36">
        <f t="shared" si="3"/>
        <v>1.2418579859216461E-2</v>
      </c>
      <c r="N36">
        <f t="shared" si="11"/>
        <v>0.67499998412297102</v>
      </c>
      <c r="O36">
        <v>0.31026704139262901</v>
      </c>
      <c r="P36">
        <v>0.36473294273034201</v>
      </c>
      <c r="Q36">
        <v>0.32500001587702898</v>
      </c>
      <c r="R36">
        <f t="shared" si="4"/>
        <v>1</v>
      </c>
      <c r="S36">
        <f t="shared" si="5"/>
        <v>200</v>
      </c>
      <c r="T36">
        <v>382.96958986685911</v>
      </c>
      <c r="U36">
        <f t="shared" si="12"/>
        <v>580.95582698390785</v>
      </c>
      <c r="V36">
        <f t="shared" si="6"/>
        <v>0.33749999206148551</v>
      </c>
      <c r="W36">
        <f t="shared" si="13"/>
        <v>0.33962197943307004</v>
      </c>
    </row>
    <row r="37" spans="1:23">
      <c r="A37" s="2">
        <v>34</v>
      </c>
      <c r="B37" s="2">
        <v>67.833333300000007</v>
      </c>
      <c r="C37">
        <f t="shared" si="0"/>
        <v>0.90712891185019351</v>
      </c>
      <c r="D37" s="21">
        <v>0.29837886621151699</v>
      </c>
      <c r="E37">
        <f t="shared" si="1"/>
        <v>3.9069308380251654E-2</v>
      </c>
      <c r="F37" s="22">
        <f t="shared" si="7"/>
        <v>0.29837886621151699</v>
      </c>
      <c r="G37">
        <f t="shared" si="8"/>
        <v>3.8315945927585804E-2</v>
      </c>
      <c r="H37" s="21">
        <v>0.666604809952836</v>
      </c>
      <c r="I37">
        <f t="shared" si="2"/>
        <v>1.2515285852579428E-2</v>
      </c>
      <c r="J37" s="22">
        <f t="shared" si="9"/>
        <v>0.666604809952836</v>
      </c>
      <c r="K37">
        <f t="shared" si="10"/>
        <v>1.2437295359410849E-2</v>
      </c>
      <c r="L37">
        <v>1.0326785273163663E-3</v>
      </c>
      <c r="M37">
        <f t="shared" si="3"/>
        <v>1.2437295359410849E-2</v>
      </c>
      <c r="N37">
        <f t="shared" si="11"/>
        <v>0.666604809952836</v>
      </c>
      <c r="O37">
        <v>0.29837886621151699</v>
      </c>
      <c r="P37">
        <v>0.36822594374131901</v>
      </c>
      <c r="Q37">
        <v>0.333395190047164</v>
      </c>
      <c r="R37">
        <f t="shared" si="4"/>
        <v>1</v>
      </c>
      <c r="S37">
        <f t="shared" si="5"/>
        <v>200</v>
      </c>
      <c r="T37">
        <v>386.63724092838498</v>
      </c>
      <c r="U37">
        <f t="shared" si="12"/>
        <v>584.80341539762208</v>
      </c>
      <c r="V37">
        <f t="shared" si="6"/>
        <v>0.333302404976418</v>
      </c>
      <c r="W37">
        <f t="shared" si="13"/>
        <v>0.33540119851895178</v>
      </c>
    </row>
    <row r="38" spans="1:23">
      <c r="A38" s="2">
        <v>35</v>
      </c>
      <c r="B38" s="2">
        <v>67.916666699999993</v>
      </c>
      <c r="C38">
        <f t="shared" si="0"/>
        <v>0.90453209182640526</v>
      </c>
      <c r="D38" s="21">
        <v>0.28691317362991398</v>
      </c>
      <c r="E38">
        <f t="shared" si="1"/>
        <v>3.9184403051852626E-2</v>
      </c>
      <c r="F38" s="22">
        <f t="shared" si="7"/>
        <v>0.28691317362991398</v>
      </c>
      <c r="G38">
        <f t="shared" si="8"/>
        <v>3.8426624268607323E-2</v>
      </c>
      <c r="H38" s="21">
        <v>0.65830192237600205</v>
      </c>
      <c r="I38">
        <f t="shared" si="2"/>
        <v>1.2533706816186358E-2</v>
      </c>
      <c r="J38" s="22">
        <f t="shared" si="9"/>
        <v>0.65830192237600205</v>
      </c>
      <c r="K38">
        <f t="shared" si="10"/>
        <v>1.245548704849786E-2</v>
      </c>
      <c r="L38">
        <v>1.0326785273163663E-3</v>
      </c>
      <c r="M38">
        <f t="shared" si="3"/>
        <v>1.245548704849786E-2</v>
      </c>
      <c r="N38">
        <f t="shared" si="11"/>
        <v>0.65830192237600205</v>
      </c>
      <c r="O38">
        <v>0.28691317362991398</v>
      </c>
      <c r="P38">
        <v>0.37138874874608807</v>
      </c>
      <c r="Q38">
        <v>0.34169807762399795</v>
      </c>
      <c r="R38">
        <f t="shared" si="4"/>
        <v>1</v>
      </c>
      <c r="S38">
        <f t="shared" si="5"/>
        <v>200</v>
      </c>
      <c r="T38">
        <v>389.95818618339246</v>
      </c>
      <c r="U38">
        <f t="shared" si="12"/>
        <v>588.29771355588866</v>
      </c>
      <c r="V38">
        <f t="shared" si="6"/>
        <v>0.32915096118800102</v>
      </c>
      <c r="W38">
        <f t="shared" si="13"/>
        <v>0.33122668308220948</v>
      </c>
    </row>
    <row r="39" spans="1:23">
      <c r="A39" s="2">
        <v>36</v>
      </c>
      <c r="B39" s="2">
        <v>68</v>
      </c>
      <c r="C39">
        <f t="shared" si="0"/>
        <v>0.90194270566802259</v>
      </c>
      <c r="D39" s="21">
        <v>0.275857135302576</v>
      </c>
      <c r="E39">
        <f t="shared" si="1"/>
        <v>3.9296533094284762E-2</v>
      </c>
      <c r="F39" s="22">
        <f t="shared" si="7"/>
        <v>0.275857135302576</v>
      </c>
      <c r="G39">
        <f t="shared" si="8"/>
        <v>3.8534439487254213E-2</v>
      </c>
      <c r="H39" s="21">
        <v>0.650090801270505</v>
      </c>
      <c r="I39">
        <f t="shared" si="2"/>
        <v>1.2551627286575971E-2</v>
      </c>
      <c r="J39" s="22">
        <f t="shared" si="9"/>
        <v>0.650090801270505</v>
      </c>
      <c r="K39">
        <f t="shared" si="10"/>
        <v>1.2473184152129946E-2</v>
      </c>
      <c r="L39">
        <v>1.1339622900035096E-3</v>
      </c>
      <c r="M39">
        <f t="shared" si="3"/>
        <v>1.2473184152129946E-2</v>
      </c>
      <c r="N39">
        <f t="shared" si="11"/>
        <v>0.650090801270505</v>
      </c>
      <c r="O39">
        <v>0.275857135302576</v>
      </c>
      <c r="P39">
        <v>0.37423366596792901</v>
      </c>
      <c r="Q39">
        <v>0.349909198729495</v>
      </c>
      <c r="R39">
        <f t="shared" si="4"/>
        <v>1</v>
      </c>
      <c r="S39">
        <f t="shared" si="5"/>
        <v>200</v>
      </c>
      <c r="T39">
        <v>392.94534926632548</v>
      </c>
      <c r="U39">
        <f t="shared" si="12"/>
        <v>591.451767724859</v>
      </c>
      <c r="V39">
        <f t="shared" si="6"/>
        <v>0.3250454006352525</v>
      </c>
      <c r="W39">
        <f t="shared" si="13"/>
        <v>0.32709818091162679</v>
      </c>
    </row>
    <row r="40" spans="1:23">
      <c r="A40" s="2">
        <v>37</v>
      </c>
      <c r="B40" s="2">
        <v>68.083333300000007</v>
      </c>
      <c r="C40">
        <f t="shared" si="0"/>
        <v>0.89936073209426526</v>
      </c>
      <c r="D40" s="21">
        <v>0.26519814159648702</v>
      </c>
      <c r="E40">
        <f t="shared" si="1"/>
        <v>3.9405855254977057E-2</v>
      </c>
      <c r="F40" s="22">
        <f t="shared" si="7"/>
        <v>0.26519814159648702</v>
      </c>
      <c r="G40">
        <f t="shared" si="8"/>
        <v>3.8639543234571638E-2</v>
      </c>
      <c r="H40" s="21">
        <v>0.64197089835161303</v>
      </c>
      <c r="I40">
        <f t="shared" si="2"/>
        <v>1.2569074403507411E-2</v>
      </c>
      <c r="J40" s="22">
        <f t="shared" si="9"/>
        <v>0.64197089835161303</v>
      </c>
      <c r="K40">
        <f t="shared" si="10"/>
        <v>1.2490413497657338E-2</v>
      </c>
      <c r="L40">
        <v>1.1339622900035096E-3</v>
      </c>
      <c r="M40">
        <f t="shared" si="3"/>
        <v>1.2490413497657338E-2</v>
      </c>
      <c r="N40">
        <f t="shared" si="11"/>
        <v>0.64197089835161303</v>
      </c>
      <c r="O40">
        <v>0.26519814159648702</v>
      </c>
      <c r="P40">
        <v>0.376772756755126</v>
      </c>
      <c r="Q40">
        <v>0.35802910164838697</v>
      </c>
      <c r="R40">
        <f t="shared" si="4"/>
        <v>1</v>
      </c>
      <c r="S40">
        <f t="shared" si="5"/>
        <v>200</v>
      </c>
      <c r="T40">
        <v>395.61139459288228</v>
      </c>
      <c r="U40">
        <f t="shared" si="12"/>
        <v>594.27837192960396</v>
      </c>
      <c r="V40">
        <f t="shared" si="6"/>
        <v>0.32098544917580651</v>
      </c>
      <c r="W40">
        <f t="shared" si="13"/>
        <v>0.32301542490552948</v>
      </c>
    </row>
    <row r="41" spans="1:23">
      <c r="A41" s="2">
        <v>38</v>
      </c>
      <c r="B41" s="2">
        <v>68.166666699999993</v>
      </c>
      <c r="C41">
        <f t="shared" si="0"/>
        <v>0.89678614988527383</v>
      </c>
      <c r="D41" s="21">
        <v>0.25492381524121899</v>
      </c>
      <c r="E41">
        <f t="shared" si="1"/>
        <v>3.9512513972712437E-2</v>
      </c>
      <c r="F41" s="22">
        <f t="shared" si="7"/>
        <v>0.25492381524121899</v>
      </c>
      <c r="G41">
        <f t="shared" si="8"/>
        <v>3.874207524010842E-2</v>
      </c>
      <c r="H41" s="21">
        <v>0.63394164007905396</v>
      </c>
      <c r="I41">
        <f t="shared" si="2"/>
        <v>1.2586073140318727E-2</v>
      </c>
      <c r="J41" s="22">
        <f t="shared" si="9"/>
        <v>0.63394164007905396</v>
      </c>
      <c r="K41">
        <f t="shared" si="10"/>
        <v>1.250719977054382E-2</v>
      </c>
      <c r="L41">
        <v>1.1339622900035096E-3</v>
      </c>
      <c r="M41">
        <f t="shared" si="3"/>
        <v>1.250719977054382E-2</v>
      </c>
      <c r="N41">
        <f t="shared" si="11"/>
        <v>0.63394164007905396</v>
      </c>
      <c r="O41">
        <v>0.25492381524121899</v>
      </c>
      <c r="P41">
        <v>0.37901782483783497</v>
      </c>
      <c r="Q41">
        <v>0.36605835992094604</v>
      </c>
      <c r="R41">
        <f t="shared" si="4"/>
        <v>1</v>
      </c>
      <c r="S41">
        <f t="shared" si="5"/>
        <v>200</v>
      </c>
      <c r="T41">
        <v>397.96871607972673</v>
      </c>
      <c r="U41">
        <f t="shared" si="12"/>
        <v>596.79005533630448</v>
      </c>
      <c r="V41">
        <f t="shared" si="6"/>
        <v>0.31697082003952698</v>
      </c>
      <c r="W41">
        <f t="shared" si="13"/>
        <v>0.31897813460766677</v>
      </c>
    </row>
    <row r="42" spans="1:23">
      <c r="A42" s="2">
        <v>39</v>
      </c>
      <c r="B42" s="2">
        <v>68.25</v>
      </c>
      <c r="C42">
        <f t="shared" si="0"/>
        <v>0.89421893788193463</v>
      </c>
      <c r="D42" s="21">
        <v>0.24502202246476801</v>
      </c>
      <c r="E42">
        <f t="shared" si="1"/>
        <v>3.9616642643341519E-2</v>
      </c>
      <c r="F42" s="22">
        <f t="shared" si="7"/>
        <v>0.24502202246476804</v>
      </c>
      <c r="G42">
        <f t="shared" si="8"/>
        <v>3.8842164538772095E-2</v>
      </c>
      <c r="H42" s="21">
        <v>0.62600243027590097</v>
      </c>
      <c r="I42">
        <f t="shared" si="2"/>
        <v>1.2602646529400782E-2</v>
      </c>
      <c r="J42" s="22">
        <f t="shared" si="9"/>
        <v>0.62600243027590097</v>
      </c>
      <c r="K42">
        <f t="shared" si="10"/>
        <v>1.252356573731761E-2</v>
      </c>
      <c r="L42">
        <v>1.1339622900035096E-3</v>
      </c>
      <c r="M42">
        <f t="shared" si="3"/>
        <v>1.252356573731761E-2</v>
      </c>
      <c r="N42">
        <f t="shared" si="11"/>
        <v>0.62600243027590097</v>
      </c>
      <c r="O42">
        <v>0.24502202246476804</v>
      </c>
      <c r="P42">
        <v>0.38098040781113296</v>
      </c>
      <c r="Q42">
        <v>0.37399756972409903</v>
      </c>
      <c r="R42">
        <f t="shared" si="4"/>
        <v>1</v>
      </c>
      <c r="S42">
        <f t="shared" si="5"/>
        <v>200</v>
      </c>
      <c r="T42">
        <v>400.0294282016896</v>
      </c>
      <c r="U42">
        <f t="shared" si="12"/>
        <v>598.99907214070822</v>
      </c>
      <c r="V42">
        <f t="shared" si="6"/>
        <v>0.31300121513795048</v>
      </c>
      <c r="W42">
        <f t="shared" si="13"/>
        <v>0.31498601758873873</v>
      </c>
    </row>
    <row r="43" spans="1:23">
      <c r="A43" s="2">
        <v>40</v>
      </c>
      <c r="B43" s="2">
        <v>68.333333300000007</v>
      </c>
      <c r="C43">
        <f t="shared" si="0"/>
        <v>0.89165907498570507</v>
      </c>
      <c r="D43" s="21">
        <v>0.23548088192844799</v>
      </c>
      <c r="E43">
        <f t="shared" si="1"/>
        <v>3.9718364726161921E-2</v>
      </c>
      <c r="F43" s="22">
        <f t="shared" si="7"/>
        <v>0.23548088192844799</v>
      </c>
      <c r="G43">
        <f t="shared" si="8"/>
        <v>3.8939930543149259E-2</v>
      </c>
      <c r="H43" s="21">
        <v>0.61815265249381102</v>
      </c>
      <c r="I43">
        <f t="shared" si="2"/>
        <v>1.2618815859033553E-2</v>
      </c>
      <c r="J43" s="22">
        <f t="shared" si="9"/>
        <v>0.61815265249381102</v>
      </c>
      <c r="K43">
        <f t="shared" si="10"/>
        <v>1.2539532440202006E-2</v>
      </c>
      <c r="L43">
        <v>1.1339622900035096E-3</v>
      </c>
      <c r="M43">
        <f t="shared" si="3"/>
        <v>1.2539532440202006E-2</v>
      </c>
      <c r="N43">
        <f t="shared" si="11"/>
        <v>0.61815265249381102</v>
      </c>
      <c r="O43">
        <v>0.23548088192844799</v>
      </c>
      <c r="P43">
        <v>0.38267177056536306</v>
      </c>
      <c r="Q43">
        <v>0.38184734750618898</v>
      </c>
      <c r="R43">
        <f t="shared" si="4"/>
        <v>1</v>
      </c>
      <c r="S43">
        <f t="shared" si="5"/>
        <v>200</v>
      </c>
      <c r="T43">
        <v>401.80535909363118</v>
      </c>
      <c r="U43">
        <f t="shared" si="12"/>
        <v>600.91739364766045</v>
      </c>
      <c r="V43">
        <f t="shared" si="6"/>
        <v>0.30907632624690551</v>
      </c>
      <c r="W43">
        <f t="shared" si="13"/>
        <v>0.31103877069242802</v>
      </c>
    </row>
    <row r="44" spans="1:23">
      <c r="A44" s="2">
        <v>41</v>
      </c>
      <c r="B44" s="2">
        <v>68.416666699999993</v>
      </c>
      <c r="C44">
        <f t="shared" si="0"/>
        <v>0.88910654015844148</v>
      </c>
      <c r="D44" s="21">
        <v>0.22628877173336601</v>
      </c>
      <c r="E44">
        <f t="shared" si="1"/>
        <v>3.9817794714478945E-2</v>
      </c>
      <c r="F44" s="22">
        <f t="shared" si="7"/>
        <v>0.22628877173336601</v>
      </c>
      <c r="G44">
        <f t="shared" si="8"/>
        <v>3.9035483984109831E-2</v>
      </c>
      <c r="H44" s="21">
        <v>0.61039167215434897</v>
      </c>
      <c r="I44">
        <f t="shared" si="2"/>
        <v>1.2634600845811365E-2</v>
      </c>
      <c r="J44" s="22">
        <f t="shared" si="9"/>
        <v>0.61039167215434897</v>
      </c>
      <c r="K44">
        <f t="shared" si="10"/>
        <v>1.2555119367606005E-2</v>
      </c>
      <c r="L44">
        <v>1.1339622900035096E-3</v>
      </c>
      <c r="M44">
        <f t="shared" si="3"/>
        <v>1.2555119367606005E-2</v>
      </c>
      <c r="N44">
        <f t="shared" si="11"/>
        <v>0.61039167215434897</v>
      </c>
      <c r="O44">
        <v>0.22628877173336601</v>
      </c>
      <c r="P44">
        <v>0.38410290042098294</v>
      </c>
      <c r="Q44">
        <v>0.38960832784565103</v>
      </c>
      <c r="R44">
        <f t="shared" si="4"/>
        <v>1</v>
      </c>
      <c r="S44">
        <f t="shared" si="5"/>
        <v>200</v>
      </c>
      <c r="T44">
        <v>403.3080454420321</v>
      </c>
      <c r="U44">
        <f t="shared" si="12"/>
        <v>602.55670226783172</v>
      </c>
      <c r="V44">
        <f t="shared" si="6"/>
        <v>0.30519583607717449</v>
      </c>
      <c r="W44">
        <f t="shared" si="13"/>
        <v>0.30713608116204</v>
      </c>
    </row>
    <row r="45" spans="1:23">
      <c r="A45" s="2">
        <v>42</v>
      </c>
      <c r="B45" s="2">
        <v>68.5</v>
      </c>
      <c r="C45">
        <f t="shared" si="0"/>
        <v>0.8865613124222258</v>
      </c>
      <c r="D45" s="21">
        <v>0.217434334736122</v>
      </c>
      <c r="E45">
        <f t="shared" si="1"/>
        <v>3.991503898998075E-2</v>
      </c>
      <c r="F45" s="22">
        <f t="shared" si="7"/>
        <v>0.217434334736122</v>
      </c>
      <c r="G45">
        <f t="shared" si="8"/>
        <v>3.912892773874399E-2</v>
      </c>
      <c r="H45" s="21">
        <v>0.60271883849194796</v>
      </c>
      <c r="I45">
        <f t="shared" si="2"/>
        <v>1.2650019786236578E-2</v>
      </c>
      <c r="J45" s="22">
        <f t="shared" si="9"/>
        <v>0.60271883849194796</v>
      </c>
      <c r="K45">
        <f t="shared" si="10"/>
        <v>1.2570344604014849E-2</v>
      </c>
      <c r="L45">
        <v>1.1339622900035096E-3</v>
      </c>
      <c r="M45">
        <f t="shared" si="3"/>
        <v>1.2570344604014849E-2</v>
      </c>
      <c r="N45">
        <f t="shared" si="11"/>
        <v>0.60271883849194796</v>
      </c>
      <c r="O45">
        <v>0.217434334736122</v>
      </c>
      <c r="P45">
        <v>0.38528450375582596</v>
      </c>
      <c r="Q45">
        <v>0.39728116150805204</v>
      </c>
      <c r="R45">
        <f t="shared" si="4"/>
        <v>1</v>
      </c>
      <c r="S45">
        <f t="shared" si="5"/>
        <v>200</v>
      </c>
      <c r="T45">
        <v>404.54872894361728</v>
      </c>
      <c r="U45">
        <f t="shared" si="12"/>
        <v>603.92838719282474</v>
      </c>
      <c r="V45">
        <f t="shared" si="6"/>
        <v>0.30135941924597398</v>
      </c>
      <c r="W45">
        <f t="shared" si="13"/>
        <v>0.30327762766157423</v>
      </c>
    </row>
    <row r="46" spans="1:23">
      <c r="A46" s="2">
        <v>43</v>
      </c>
      <c r="B46" s="2">
        <v>68.583333300000007</v>
      </c>
      <c r="C46">
        <f t="shared" si="0"/>
        <v>0.88402337085919236</v>
      </c>
      <c r="D46" s="21">
        <v>0.20890648238163501</v>
      </c>
      <c r="E46">
        <f t="shared" si="1"/>
        <v>4.0010196577233065E-2</v>
      </c>
      <c r="F46" s="22">
        <f t="shared" si="7"/>
        <v>0.20890648238163501</v>
      </c>
      <c r="G46">
        <f t="shared" si="8"/>
        <v>3.9220357561451258E-2</v>
      </c>
      <c r="H46" s="21">
        <v>0.59513348632057705</v>
      </c>
      <c r="I46">
        <f t="shared" si="2"/>
        <v>1.2665089690423409E-2</v>
      </c>
      <c r="J46" s="22">
        <f t="shared" si="9"/>
        <v>0.59513348632057705</v>
      </c>
      <c r="K46">
        <f t="shared" si="10"/>
        <v>1.2585224962189834E-2</v>
      </c>
      <c r="L46">
        <v>1.1339622900035096E-3</v>
      </c>
      <c r="M46">
        <f t="shared" si="3"/>
        <v>1.2585224962189834E-2</v>
      </c>
      <c r="N46">
        <f t="shared" si="11"/>
        <v>0.59513348632057705</v>
      </c>
      <c r="O46">
        <v>0.20890648238163501</v>
      </c>
      <c r="P46">
        <v>0.38622700393894205</v>
      </c>
      <c r="Q46">
        <v>0.40486651367942295</v>
      </c>
      <c r="R46">
        <f t="shared" si="4"/>
        <v>1</v>
      </c>
      <c r="S46">
        <f t="shared" si="5"/>
        <v>200</v>
      </c>
      <c r="T46">
        <v>405.53835413588916</v>
      </c>
      <c r="U46">
        <f t="shared" si="12"/>
        <v>605.04354153975328</v>
      </c>
      <c r="V46">
        <f t="shared" si="6"/>
        <v>0.29756674316028853</v>
      </c>
      <c r="W46">
        <f t="shared" si="13"/>
        <v>0.29946308120313125</v>
      </c>
    </row>
    <row r="47" spans="1:23">
      <c r="A47" s="2">
        <v>44</v>
      </c>
      <c r="B47" s="2">
        <v>68.666666699999993</v>
      </c>
      <c r="C47">
        <f t="shared" si="0"/>
        <v>0.88149269461135704</v>
      </c>
      <c r="D47" s="21">
        <v>0.20069439723547999</v>
      </c>
      <c r="E47">
        <f t="shared" si="1"/>
        <v>4.0103359812084023E-2</v>
      </c>
      <c r="F47" s="22">
        <f t="shared" si="7"/>
        <v>0.20069439723547999</v>
      </c>
      <c r="G47">
        <f t="shared" si="8"/>
        <v>3.9309862731559453E-2</v>
      </c>
      <c r="H47" s="21">
        <v>0.58763493764324504</v>
      </c>
      <c r="I47">
        <f t="shared" si="2"/>
        <v>1.2679826400396971E-2</v>
      </c>
      <c r="J47" s="22">
        <f t="shared" si="9"/>
        <v>0.58763493764324504</v>
      </c>
      <c r="K47">
        <f t="shared" si="10"/>
        <v>1.2599776100134963E-2</v>
      </c>
      <c r="L47">
        <v>1.1339622900035096E-3</v>
      </c>
      <c r="M47">
        <f t="shared" si="3"/>
        <v>1.2599776100134963E-2</v>
      </c>
      <c r="N47">
        <f t="shared" si="11"/>
        <v>0.58763493764324504</v>
      </c>
      <c r="O47">
        <v>0.20069439723547999</v>
      </c>
      <c r="P47">
        <v>0.38694054040776504</v>
      </c>
      <c r="Q47">
        <v>0.41236506235675496</v>
      </c>
      <c r="R47">
        <f t="shared" si="4"/>
        <v>1</v>
      </c>
      <c r="S47">
        <f t="shared" si="5"/>
        <v>200</v>
      </c>
      <c r="T47">
        <v>406.2875674281533</v>
      </c>
      <c r="U47">
        <f t="shared" si="12"/>
        <v>605.91296078202129</v>
      </c>
      <c r="V47">
        <f t="shared" si="6"/>
        <v>0.29381746882162252</v>
      </c>
      <c r="W47">
        <f t="shared" si="13"/>
        <v>0.29569210599095552</v>
      </c>
    </row>
    <row r="48" spans="1:23">
      <c r="A48" s="2">
        <v>45</v>
      </c>
      <c r="B48" s="2">
        <v>68.75</v>
      </c>
      <c r="C48">
        <f t="shared" si="0"/>
        <v>0.87896926288044619</v>
      </c>
      <c r="D48" s="21">
        <v>0.19278753437618801</v>
      </c>
      <c r="E48">
        <f t="shared" si="1"/>
        <v>4.0194614935429286E-2</v>
      </c>
      <c r="F48" s="22">
        <f t="shared" si="7"/>
        <v>0.19278753437618801</v>
      </c>
      <c r="G48">
        <f t="shared" si="8"/>
        <v>3.9397526628581758E-2</v>
      </c>
      <c r="H48" s="21">
        <v>0.58022250312099699</v>
      </c>
      <c r="I48">
        <f t="shared" si="2"/>
        <v>1.2694244695052356E-2</v>
      </c>
      <c r="J48" s="22">
        <f t="shared" si="9"/>
        <v>0.58022250312099699</v>
      </c>
      <c r="K48">
        <f t="shared" si="10"/>
        <v>1.2614012624872495E-2</v>
      </c>
      <c r="L48">
        <v>1.1339622900035096E-3</v>
      </c>
      <c r="M48">
        <f t="shared" si="3"/>
        <v>1.2614012624872495E-2</v>
      </c>
      <c r="N48">
        <f t="shared" si="11"/>
        <v>0.58022250312099699</v>
      </c>
      <c r="O48">
        <v>0.19278753437618801</v>
      </c>
      <c r="P48">
        <v>0.38743496874480898</v>
      </c>
      <c r="Q48">
        <v>0.41977749687900301</v>
      </c>
      <c r="R48">
        <f t="shared" si="4"/>
        <v>1</v>
      </c>
      <c r="S48">
        <f t="shared" si="5"/>
        <v>200</v>
      </c>
      <c r="T48">
        <v>406.80671718204945</v>
      </c>
      <c r="U48">
        <f t="shared" si="12"/>
        <v>606.54714230510137</v>
      </c>
      <c r="V48">
        <f t="shared" si="6"/>
        <v>0.2901112515604985</v>
      </c>
      <c r="W48">
        <f t="shared" si="13"/>
        <v>0.29196436019106053</v>
      </c>
    </row>
    <row r="49" spans="1:23">
      <c r="A49" s="2">
        <v>46</v>
      </c>
      <c r="B49" s="2">
        <v>68.833333300000007</v>
      </c>
      <c r="C49">
        <f t="shared" si="0"/>
        <v>0.87645305492772319</v>
      </c>
      <c r="D49" s="21">
        <v>0.185175621788946</v>
      </c>
      <c r="E49">
        <f t="shared" si="1"/>
        <v>4.0284042622302556E-2</v>
      </c>
      <c r="F49" s="22">
        <f t="shared" si="7"/>
        <v>0.185175621788946</v>
      </c>
      <c r="G49">
        <f t="shared" si="8"/>
        <v>3.9483427244776159E-2</v>
      </c>
      <c r="H49" s="21">
        <v>0.572895483415926</v>
      </c>
      <c r="I49">
        <f t="shared" si="2"/>
        <v>1.2708358383573416E-2</v>
      </c>
      <c r="J49" s="22">
        <f t="shared" si="9"/>
        <v>0.572895483415926</v>
      </c>
      <c r="K49">
        <f t="shared" si="10"/>
        <v>1.2627948184807058E-2</v>
      </c>
      <c r="L49">
        <v>1.1339622900035096E-3</v>
      </c>
      <c r="M49">
        <f t="shared" si="3"/>
        <v>1.2627948184807058E-2</v>
      </c>
      <c r="N49">
        <f t="shared" si="11"/>
        <v>0.572895483415926</v>
      </c>
      <c r="O49">
        <v>0.185175621788946</v>
      </c>
      <c r="P49">
        <v>0.38771986162698002</v>
      </c>
      <c r="Q49">
        <v>0.427104516584074</v>
      </c>
      <c r="R49">
        <f t="shared" si="4"/>
        <v>1</v>
      </c>
      <c r="S49">
        <f t="shared" si="5"/>
        <v>200</v>
      </c>
      <c r="T49">
        <v>407.10585470832905</v>
      </c>
      <c r="U49">
        <f t="shared" si="12"/>
        <v>606.95628594518928</v>
      </c>
      <c r="V49">
        <f t="shared" si="6"/>
        <v>0.286447741707963</v>
      </c>
      <c r="W49">
        <f t="shared" si="13"/>
        <v>0.28827949663423075</v>
      </c>
    </row>
    <row r="50" spans="1:23">
      <c r="A50" s="2">
        <v>47</v>
      </c>
      <c r="B50" s="2">
        <v>68.916666699999993</v>
      </c>
      <c r="C50">
        <f t="shared" si="0"/>
        <v>0.87394405007382159</v>
      </c>
      <c r="D50" s="21">
        <v>0.17784865988569201</v>
      </c>
      <c r="E50">
        <f t="shared" si="1"/>
        <v>4.0371718454485277E-2</v>
      </c>
      <c r="F50" s="22">
        <f t="shared" si="7"/>
        <v>0.17784865988569201</v>
      </c>
      <c r="G50">
        <f t="shared" si="8"/>
        <v>3.9567637642955455E-2</v>
      </c>
      <c r="H50" s="21">
        <v>0.56565317042093699</v>
      </c>
      <c r="I50">
        <f t="shared" si="2"/>
        <v>1.2722180388784244E-2</v>
      </c>
      <c r="J50" s="22">
        <f t="shared" si="9"/>
        <v>0.56565317042093699</v>
      </c>
      <c r="K50">
        <f t="shared" si="10"/>
        <v>1.2641595552135065E-2</v>
      </c>
      <c r="L50">
        <v>1.1339622900035096E-3</v>
      </c>
      <c r="M50">
        <f t="shared" si="3"/>
        <v>1.2641595552135065E-2</v>
      </c>
      <c r="N50">
        <f t="shared" si="11"/>
        <v>0.56565317042093699</v>
      </c>
      <c r="O50">
        <v>0.17784865988569201</v>
      </c>
      <c r="P50">
        <v>0.38780451053524501</v>
      </c>
      <c r="Q50">
        <v>0.43434682957906301</v>
      </c>
      <c r="R50">
        <f t="shared" si="4"/>
        <v>1</v>
      </c>
      <c r="S50">
        <f t="shared" si="5"/>
        <v>200</v>
      </c>
      <c r="T50">
        <v>407.19473606200728</v>
      </c>
      <c r="U50">
        <f t="shared" si="12"/>
        <v>607.15029538516819</v>
      </c>
      <c r="V50">
        <f t="shared" si="6"/>
        <v>0.2828265852104685</v>
      </c>
      <c r="W50">
        <f t="shared" si="13"/>
        <v>0.28463716345921575</v>
      </c>
    </row>
    <row r="51" spans="1:23">
      <c r="A51" s="2">
        <v>48</v>
      </c>
      <c r="B51" s="2">
        <v>69</v>
      </c>
      <c r="C51">
        <f t="shared" si="0"/>
        <v>0.8714422276985726</v>
      </c>
      <c r="D51" s="21">
        <v>0.17079692026226201</v>
      </c>
      <c r="E51">
        <f t="shared" si="1"/>
        <v>4.0457713343708748E-2</v>
      </c>
      <c r="F51" s="22">
        <f t="shared" si="7"/>
        <v>0.17079692026226201</v>
      </c>
      <c r="G51">
        <f t="shared" si="8"/>
        <v>3.9650226366408026E-2</v>
      </c>
      <c r="H51" s="21">
        <v>0.558494848387457</v>
      </c>
      <c r="I51">
        <f t="shared" si="2"/>
        <v>1.2735722821707178E-2</v>
      </c>
      <c r="J51" s="22">
        <f t="shared" si="9"/>
        <v>0.558494848387457</v>
      </c>
      <c r="K51">
        <f t="shared" si="10"/>
        <v>1.2654966696559078E-2</v>
      </c>
      <c r="L51">
        <v>1.2257718355900282E-3</v>
      </c>
      <c r="M51">
        <f t="shared" si="3"/>
        <v>1.2654966696559078E-2</v>
      </c>
      <c r="N51">
        <f t="shared" si="11"/>
        <v>0.558494848387457</v>
      </c>
      <c r="O51">
        <v>0.17079692026226201</v>
      </c>
      <c r="P51">
        <v>0.38769792812519499</v>
      </c>
      <c r="Q51">
        <v>0.441505151612543</v>
      </c>
      <c r="R51">
        <f t="shared" si="4"/>
        <v>1</v>
      </c>
      <c r="S51">
        <f t="shared" si="5"/>
        <v>200</v>
      </c>
      <c r="T51">
        <v>407.08282453145472</v>
      </c>
      <c r="U51">
        <f t="shared" si="12"/>
        <v>607.13878029673094</v>
      </c>
      <c r="V51">
        <f t="shared" si="6"/>
        <v>0.2792474241937285</v>
      </c>
      <c r="W51">
        <f t="shared" si="13"/>
        <v>0.28103700470209847</v>
      </c>
    </row>
    <row r="52" spans="1:23">
      <c r="A52" s="2">
        <v>49</v>
      </c>
      <c r="B52" s="2">
        <v>69.083333300000007</v>
      </c>
      <c r="C52">
        <f t="shared" si="0"/>
        <v>0.86894756724083599</v>
      </c>
      <c r="D52" s="21">
        <v>0.16401094379068201</v>
      </c>
      <c r="E52">
        <f t="shared" si="1"/>
        <v>4.0542093911700938E-2</v>
      </c>
      <c r="F52" s="22">
        <f t="shared" si="7"/>
        <v>0.16401094379068201</v>
      </c>
      <c r="G52">
        <f t="shared" si="8"/>
        <v>3.9731257806990827E-2</v>
      </c>
      <c r="H52" s="21">
        <v>0.55141979496095805</v>
      </c>
      <c r="I52">
        <f t="shared" si="2"/>
        <v>1.2748997048423499E-2</v>
      </c>
      <c r="J52" s="22">
        <f t="shared" si="9"/>
        <v>0.55141979496095805</v>
      </c>
      <c r="K52">
        <f t="shared" si="10"/>
        <v>1.2668072851391154E-2</v>
      </c>
      <c r="L52">
        <v>1.2257718355900282E-3</v>
      </c>
      <c r="M52">
        <f t="shared" si="3"/>
        <v>1.2668072851391154E-2</v>
      </c>
      <c r="N52">
        <f t="shared" si="11"/>
        <v>0.55141979496095805</v>
      </c>
      <c r="O52">
        <v>0.16401094379068201</v>
      </c>
      <c r="P52">
        <v>0.38740885117027601</v>
      </c>
      <c r="Q52">
        <v>0.44858020503904195</v>
      </c>
      <c r="R52">
        <f t="shared" si="4"/>
        <v>1</v>
      </c>
      <c r="S52">
        <f t="shared" si="5"/>
        <v>200</v>
      </c>
      <c r="T52">
        <v>406.77929372878981</v>
      </c>
      <c r="U52">
        <f t="shared" si="12"/>
        <v>606.93105913012221</v>
      </c>
      <c r="V52">
        <f t="shared" si="6"/>
        <v>0.27570989748047903</v>
      </c>
      <c r="W52">
        <f t="shared" si="13"/>
        <v>0.27747866083710376</v>
      </c>
    </row>
    <row r="53" spans="1:23">
      <c r="A53" s="2">
        <v>50</v>
      </c>
      <c r="B53" s="2">
        <v>69.166666699999993</v>
      </c>
      <c r="C53">
        <f t="shared" si="0"/>
        <v>0.86646004819833244</v>
      </c>
      <c r="D53" s="21">
        <v>0.15748153813375901</v>
      </c>
      <c r="E53">
        <f t="shared" si="1"/>
        <v>4.062492283206786E-2</v>
      </c>
      <c r="F53" s="22">
        <f t="shared" si="7"/>
        <v>0.15748153813375901</v>
      </c>
      <c r="G53">
        <f t="shared" si="8"/>
        <v>3.9810792536235429E-2</v>
      </c>
      <c r="H53" s="21">
        <v>0.54442728213300795</v>
      </c>
      <c r="I53">
        <f t="shared" si="2"/>
        <v>1.2762013750186006E-2</v>
      </c>
      <c r="J53" s="22">
        <f t="shared" si="9"/>
        <v>0.54442728213300795</v>
      </c>
      <c r="K53">
        <f t="shared" si="10"/>
        <v>1.2680924572983754E-2</v>
      </c>
      <c r="L53">
        <v>1.2257718355900282E-3</v>
      </c>
      <c r="M53">
        <f t="shared" si="3"/>
        <v>1.2680924572983754E-2</v>
      </c>
      <c r="N53">
        <f t="shared" si="11"/>
        <v>0.54442728213300795</v>
      </c>
      <c r="O53">
        <v>0.15748153813375901</v>
      </c>
      <c r="P53">
        <v>0.38694574399924897</v>
      </c>
      <c r="Q53">
        <v>0.45557271786699205</v>
      </c>
      <c r="R53">
        <f t="shared" si="4"/>
        <v>1</v>
      </c>
      <c r="S53">
        <f t="shared" si="5"/>
        <v>200</v>
      </c>
      <c r="T53">
        <v>406.29303119921144</v>
      </c>
      <c r="U53">
        <f t="shared" si="12"/>
        <v>606.53616246400065</v>
      </c>
      <c r="V53">
        <f t="shared" si="6"/>
        <v>0.27221364106650398</v>
      </c>
      <c r="W53">
        <f t="shared" si="13"/>
        <v>0.27396176927349147</v>
      </c>
    </row>
    <row r="54" spans="1:23">
      <c r="A54" s="2">
        <v>51</v>
      </c>
      <c r="B54" s="2">
        <v>69.25</v>
      </c>
      <c r="C54">
        <f t="shared" si="0"/>
        <v>0.86397965012747313</v>
      </c>
      <c r="D54" s="21">
        <v>0.15119977475943699</v>
      </c>
      <c r="E54">
        <f t="shared" si="1"/>
        <v>4.0706259138682532E-2</v>
      </c>
      <c r="F54" s="22">
        <f t="shared" si="7"/>
        <v>0.15119977475943699</v>
      </c>
      <c r="G54">
        <f t="shared" si="8"/>
        <v>3.9888887603996559E-2</v>
      </c>
      <c r="H54" s="21">
        <v>0.53751657711759104</v>
      </c>
      <c r="I54">
        <f t="shared" si="2"/>
        <v>1.2774782977562011E-2</v>
      </c>
      <c r="J54" s="22">
        <f t="shared" si="9"/>
        <v>0.53751657711759104</v>
      </c>
      <c r="K54">
        <f t="shared" si="10"/>
        <v>1.2693531794258139E-2</v>
      </c>
      <c r="L54">
        <v>1.2257718355900282E-3</v>
      </c>
      <c r="M54">
        <f t="shared" si="3"/>
        <v>1.2693531794258139E-2</v>
      </c>
      <c r="N54">
        <f t="shared" si="11"/>
        <v>0.53751657711759104</v>
      </c>
      <c r="O54">
        <v>0.15119977475943699</v>
      </c>
      <c r="P54">
        <v>0.38631680235815402</v>
      </c>
      <c r="Q54">
        <v>0.46248342288240896</v>
      </c>
      <c r="R54">
        <f t="shared" si="4"/>
        <v>1</v>
      </c>
      <c r="S54">
        <f t="shared" si="5"/>
        <v>200</v>
      </c>
      <c r="T54">
        <v>405.63264247606173</v>
      </c>
      <c r="U54">
        <f t="shared" si="12"/>
        <v>605.96283683763659</v>
      </c>
      <c r="V54">
        <f t="shared" si="6"/>
        <v>0.26875828855879552</v>
      </c>
      <c r="W54">
        <f t="shared" si="13"/>
        <v>0.27048596481264975</v>
      </c>
    </row>
    <row r="55" spans="1:23">
      <c r="A55" s="2">
        <v>52</v>
      </c>
      <c r="B55" s="2">
        <v>69.333333300000007</v>
      </c>
      <c r="C55">
        <f t="shared" si="0"/>
        <v>0.86150635264319342</v>
      </c>
      <c r="D55" s="21">
        <v>0.145156985523888</v>
      </c>
      <c r="E55">
        <f t="shared" si="1"/>
        <v>4.0786158504404056E-2</v>
      </c>
      <c r="F55" s="22">
        <f t="shared" si="7"/>
        <v>0.145156985523888</v>
      </c>
      <c r="G55">
        <f t="shared" si="8"/>
        <v>3.996559680834999E-2</v>
      </c>
      <c r="H55" s="21">
        <v>0.53068694315857301</v>
      </c>
      <c r="I55">
        <f t="shared" si="2"/>
        <v>1.2787314199317829E-2</v>
      </c>
      <c r="J55" s="22">
        <f t="shared" si="9"/>
        <v>0.53068694315857301</v>
      </c>
      <c r="K55">
        <f t="shared" si="10"/>
        <v>1.2705903873033386E-2</v>
      </c>
      <c r="L55">
        <v>1.2257718355900282E-3</v>
      </c>
      <c r="M55">
        <f t="shared" si="3"/>
        <v>1.2705903873033386E-2</v>
      </c>
      <c r="N55">
        <f t="shared" si="11"/>
        <v>0.53068694315857301</v>
      </c>
      <c r="O55">
        <v>0.145156985523888</v>
      </c>
      <c r="P55">
        <v>0.38552995763468501</v>
      </c>
      <c r="Q55">
        <v>0.46931305684142699</v>
      </c>
      <c r="R55">
        <f t="shared" si="4"/>
        <v>1</v>
      </c>
      <c r="S55">
        <f t="shared" si="5"/>
        <v>200</v>
      </c>
      <c r="T55">
        <v>404.80645551641925</v>
      </c>
      <c r="U55">
        <f t="shared" si="12"/>
        <v>605.21954899624052</v>
      </c>
      <c r="V55">
        <f t="shared" si="6"/>
        <v>0.26534347157928651</v>
      </c>
      <c r="W55">
        <f t="shared" si="13"/>
        <v>0.26705088006904099</v>
      </c>
    </row>
    <row r="56" spans="1:23">
      <c r="A56" s="2">
        <v>53</v>
      </c>
      <c r="B56" s="2">
        <v>69.416666699999993</v>
      </c>
      <c r="C56">
        <f t="shared" si="0"/>
        <v>0.85904013541878432</v>
      </c>
      <c r="D56" s="21">
        <v>0.139344758884797</v>
      </c>
      <c r="E56">
        <f t="shared" si="1"/>
        <v>4.0864673493425048E-2</v>
      </c>
      <c r="F56" s="22">
        <f t="shared" si="7"/>
        <v>0.139344758884797</v>
      </c>
      <c r="G56">
        <f t="shared" si="8"/>
        <v>4.0040970939938081E-2</v>
      </c>
      <c r="H56" s="21">
        <v>0.52393764027442902</v>
      </c>
      <c r="I56">
        <f t="shared" si="2"/>
        <v>1.2799616346662284E-2</v>
      </c>
      <c r="J56" s="22">
        <f t="shared" si="9"/>
        <v>0.52393764027442902</v>
      </c>
      <c r="K56">
        <f t="shared" si="10"/>
        <v>1.2718049635766615E-2</v>
      </c>
      <c r="L56">
        <v>1.2257718355900282E-3</v>
      </c>
      <c r="M56">
        <f t="shared" si="3"/>
        <v>1.2718049635766615E-2</v>
      </c>
      <c r="N56">
        <f t="shared" si="11"/>
        <v>0.52393764027442902</v>
      </c>
      <c r="O56">
        <v>0.139344758884797</v>
      </c>
      <c r="P56">
        <v>0.38459288138963199</v>
      </c>
      <c r="Q56">
        <v>0.47606235972557098</v>
      </c>
      <c r="R56">
        <f t="shared" si="4"/>
        <v>1</v>
      </c>
      <c r="S56">
        <f t="shared" si="5"/>
        <v>200</v>
      </c>
      <c r="T56">
        <v>403.82252545911359</v>
      </c>
      <c r="U56">
        <f t="shared" si="12"/>
        <v>604.31449048776642</v>
      </c>
      <c r="V56">
        <f t="shared" si="6"/>
        <v>0.26196882013721451</v>
      </c>
      <c r="W56">
        <f t="shared" si="13"/>
        <v>0.26365614585825048</v>
      </c>
    </row>
    <row r="57" spans="1:23">
      <c r="A57" s="2">
        <v>54</v>
      </c>
      <c r="B57" s="2">
        <v>69.5</v>
      </c>
      <c r="C57">
        <f t="shared" si="0"/>
        <v>0.85658097818572543</v>
      </c>
      <c r="D57" s="21">
        <v>0.13375493579960601</v>
      </c>
      <c r="E57">
        <f t="shared" si="1"/>
        <v>4.0941853790395777E-2</v>
      </c>
      <c r="F57" s="22">
        <f t="shared" si="7"/>
        <v>0.13375493579960601</v>
      </c>
      <c r="G57">
        <f t="shared" si="8"/>
        <v>4.0115058003813098E-2</v>
      </c>
      <c r="H57" s="21">
        <v>0.51726792594573001</v>
      </c>
      <c r="I57">
        <f t="shared" si="2"/>
        <v>1.2811697853320252E-2</v>
      </c>
      <c r="J57" s="22">
        <f t="shared" si="9"/>
        <v>0.51726792594573001</v>
      </c>
      <c r="K57">
        <f t="shared" si="10"/>
        <v>1.2729977417170302E-2</v>
      </c>
      <c r="L57">
        <v>1.2257718355900282E-3</v>
      </c>
      <c r="M57">
        <f t="shared" si="3"/>
        <v>1.2729977417170302E-2</v>
      </c>
      <c r="N57">
        <f t="shared" si="11"/>
        <v>0.51726792594573001</v>
      </c>
      <c r="O57">
        <v>0.13375493579960601</v>
      </c>
      <c r="P57">
        <v>0.383512990146124</v>
      </c>
      <c r="Q57">
        <v>0.48273207405426999</v>
      </c>
      <c r="R57">
        <f t="shared" si="4"/>
        <v>1</v>
      </c>
      <c r="S57">
        <f t="shared" si="5"/>
        <v>200</v>
      </c>
      <c r="T57">
        <v>402.68863965343019</v>
      </c>
      <c r="U57">
        <f t="shared" si="12"/>
        <v>603.25558255627186</v>
      </c>
      <c r="V57">
        <f t="shared" si="6"/>
        <v>0.25863396297286501</v>
      </c>
      <c r="W57">
        <f t="shared" si="13"/>
        <v>0.26030139155503973</v>
      </c>
    </row>
    <row r="58" spans="1:23">
      <c r="A58" s="2">
        <v>55</v>
      </c>
      <c r="B58" s="2">
        <v>69.583333300000007</v>
      </c>
      <c r="C58">
        <f t="shared" si="0"/>
        <v>0.85412886073351901</v>
      </c>
      <c r="D58" s="21">
        <v>0.128379605357617</v>
      </c>
      <c r="E58">
        <f t="shared" si="1"/>
        <v>4.1017746408555017E-2</v>
      </c>
      <c r="F58" s="22">
        <f t="shared" si="7"/>
        <v>0.128379605357617</v>
      </c>
      <c r="G58">
        <f t="shared" si="8"/>
        <v>4.0187903420943138E-2</v>
      </c>
      <c r="H58" s="21">
        <v>0.51067705575026801</v>
      </c>
      <c r="I58">
        <f t="shared" si="2"/>
        <v>1.2823566691970038E-2</v>
      </c>
      <c r="J58" s="22">
        <f t="shared" si="9"/>
        <v>0.51067705575026801</v>
      </c>
      <c r="K58">
        <f t="shared" si="10"/>
        <v>1.2741695096234351E-2</v>
      </c>
      <c r="L58">
        <v>1.2257718355900282E-3</v>
      </c>
      <c r="M58">
        <f t="shared" si="3"/>
        <v>1.2741695096234351E-2</v>
      </c>
      <c r="N58">
        <f t="shared" si="11"/>
        <v>0.51067705575026801</v>
      </c>
      <c r="O58">
        <v>0.128379605357617</v>
      </c>
      <c r="P58">
        <v>0.38229745039265101</v>
      </c>
      <c r="Q58">
        <v>0.48932294424973199</v>
      </c>
      <c r="R58">
        <f t="shared" si="4"/>
        <v>1</v>
      </c>
      <c r="S58">
        <f t="shared" si="5"/>
        <v>200</v>
      </c>
      <c r="T58">
        <v>401.41232291228357</v>
      </c>
      <c r="U58">
        <f t="shared" si="12"/>
        <v>602.05048128285694</v>
      </c>
      <c r="V58">
        <f t="shared" si="6"/>
        <v>0.255338527875134</v>
      </c>
      <c r="W58">
        <f t="shared" si="13"/>
        <v>0.2569862454239995</v>
      </c>
    </row>
    <row r="59" spans="1:23">
      <c r="A59" s="2">
        <v>56</v>
      </c>
      <c r="B59" s="2">
        <v>69.666666699999993</v>
      </c>
      <c r="C59">
        <f t="shared" si="0"/>
        <v>0.85168376290952408</v>
      </c>
      <c r="D59" s="21">
        <v>0.123211100189541</v>
      </c>
      <c r="E59">
        <f t="shared" si="1"/>
        <v>4.1092395879446839E-2</v>
      </c>
      <c r="F59" s="22">
        <f t="shared" si="7"/>
        <v>0.123211100189541</v>
      </c>
      <c r="G59">
        <f t="shared" si="8"/>
        <v>4.0259550211877548E-2</v>
      </c>
      <c r="H59" s="21">
        <v>0.50416428395024004</v>
      </c>
      <c r="I59">
        <f t="shared" si="2"/>
        <v>1.2835230407367258E-2</v>
      </c>
      <c r="J59" s="22">
        <f t="shared" si="9"/>
        <v>0.50416428395024004</v>
      </c>
      <c r="K59">
        <f t="shared" si="10"/>
        <v>1.2753210128972126E-2</v>
      </c>
      <c r="L59">
        <v>1.2257718355900282E-3</v>
      </c>
      <c r="M59">
        <f t="shared" si="3"/>
        <v>1.2753210128972126E-2</v>
      </c>
      <c r="N59">
        <f t="shared" si="11"/>
        <v>0.50416428395024004</v>
      </c>
      <c r="O59">
        <v>0.123211100189541</v>
      </c>
      <c r="P59">
        <v>0.38095318376069903</v>
      </c>
      <c r="Q59">
        <v>0.49583571604975996</v>
      </c>
      <c r="R59">
        <f t="shared" si="4"/>
        <v>1</v>
      </c>
      <c r="S59">
        <f t="shared" si="5"/>
        <v>200</v>
      </c>
      <c r="T59">
        <v>400.00084294873398</v>
      </c>
      <c r="U59">
        <f t="shared" si="12"/>
        <v>600.70658293050883</v>
      </c>
      <c r="V59">
        <f t="shared" si="6"/>
        <v>0.25208214197512002</v>
      </c>
      <c r="W59">
        <f t="shared" si="13"/>
        <v>0.25371033492512701</v>
      </c>
    </row>
    <row r="60" spans="1:23">
      <c r="A60" s="2">
        <v>57</v>
      </c>
      <c r="B60" s="2">
        <v>69.75</v>
      </c>
      <c r="C60">
        <f t="shared" si="0"/>
        <v>0.84924566461878859</v>
      </c>
      <c r="D60" s="21">
        <v>0.118241991693427</v>
      </c>
      <c r="E60">
        <f t="shared" si="1"/>
        <v>4.1165844425948096E-2</v>
      </c>
      <c r="F60" s="22">
        <f t="shared" si="7"/>
        <v>0.118241991693427</v>
      </c>
      <c r="G60">
        <f t="shared" si="8"/>
        <v>4.0330039164245712E-2</v>
      </c>
      <c r="H60" s="21">
        <v>0.49772886403543998</v>
      </c>
      <c r="I60">
        <f t="shared" si="2"/>
        <v>1.2846696146559042E-2</v>
      </c>
      <c r="J60" s="22">
        <f t="shared" si="9"/>
        <v>0.49772886403543998</v>
      </c>
      <c r="K60">
        <f t="shared" si="10"/>
        <v>1.2764529578289663E-2</v>
      </c>
      <c r="L60">
        <v>1.2257718355900282E-3</v>
      </c>
      <c r="M60">
        <f t="shared" si="3"/>
        <v>1.2764529578289663E-2</v>
      </c>
      <c r="N60">
        <f t="shared" si="11"/>
        <v>0.49772886403543998</v>
      </c>
      <c r="O60">
        <v>0.118241991693427</v>
      </c>
      <c r="P60">
        <v>0.37948687234201295</v>
      </c>
      <c r="Q60">
        <v>0.50227113596455997</v>
      </c>
      <c r="R60">
        <f t="shared" si="4"/>
        <v>0.99999999999999989</v>
      </c>
      <c r="S60">
        <f t="shared" si="5"/>
        <v>200</v>
      </c>
      <c r="T60">
        <v>398.46121595911359</v>
      </c>
      <c r="U60">
        <f t="shared" si="12"/>
        <v>599.23102945392384</v>
      </c>
      <c r="V60">
        <f t="shared" si="6"/>
        <v>0.24886443201771996</v>
      </c>
      <c r="W60">
        <f t="shared" si="13"/>
        <v>0.25047328699642002</v>
      </c>
    </row>
    <row r="61" spans="1:23">
      <c r="A61" s="2">
        <v>58</v>
      </c>
      <c r="B61" s="2">
        <v>69.833333300000007</v>
      </c>
      <c r="C61">
        <f t="shared" si="0"/>
        <v>0.84681454582388727</v>
      </c>
      <c r="D61" s="21">
        <v>0.113465085111706</v>
      </c>
      <c r="E61">
        <f t="shared" si="1"/>
        <v>4.12381321203956E-2</v>
      </c>
      <c r="F61" s="22">
        <f t="shared" si="7"/>
        <v>0.113465085111706</v>
      </c>
      <c r="G61">
        <f t="shared" si="8"/>
        <v>4.0399408985822616E-2</v>
      </c>
      <c r="H61" s="21">
        <v>0.491370049226035</v>
      </c>
      <c r="I61">
        <f t="shared" si="2"/>
        <v>1.2857970686459058E-2</v>
      </c>
      <c r="J61" s="22">
        <f t="shared" si="9"/>
        <v>0.491370049226035</v>
      </c>
      <c r="K61">
        <f t="shared" si="10"/>
        <v>1.2775660141245537E-2</v>
      </c>
      <c r="L61">
        <v>1.2257718355900282E-3</v>
      </c>
      <c r="M61">
        <f t="shared" si="3"/>
        <v>1.2775660141245537E-2</v>
      </c>
      <c r="N61">
        <f t="shared" si="11"/>
        <v>0.491370049226035</v>
      </c>
      <c r="O61">
        <v>0.113465085111706</v>
      </c>
      <c r="P61">
        <v>0.377904964114329</v>
      </c>
      <c r="Q61">
        <v>0.508629950773965</v>
      </c>
      <c r="R61">
        <f t="shared" si="4"/>
        <v>1</v>
      </c>
      <c r="S61">
        <f t="shared" si="5"/>
        <v>200</v>
      </c>
      <c r="T61">
        <v>396.80021232004543</v>
      </c>
      <c r="U61">
        <f t="shared" si="12"/>
        <v>597.63071413957948</v>
      </c>
      <c r="V61">
        <f t="shared" si="6"/>
        <v>0.2456850246130175</v>
      </c>
      <c r="W61">
        <f t="shared" si="13"/>
        <v>0.24727472831536873</v>
      </c>
    </row>
    <row r="62" spans="1:23">
      <c r="A62" s="2">
        <v>59</v>
      </c>
      <c r="B62" s="2">
        <v>69.916666699999993</v>
      </c>
      <c r="C62">
        <f t="shared" si="0"/>
        <v>0.8443903865447554</v>
      </c>
      <c r="D62" s="21">
        <v>0.10887341449033799</v>
      </c>
      <c r="E62">
        <f t="shared" si="1"/>
        <v>4.1309297029359628E-2</v>
      </c>
      <c r="F62" s="22">
        <f t="shared" si="7"/>
        <v>0.10887341449033799</v>
      </c>
      <c r="G62">
        <f t="shared" si="8"/>
        <v>4.0467696444659751E-2</v>
      </c>
      <c r="H62" s="21">
        <v>0.485087092938151</v>
      </c>
      <c r="I62">
        <f t="shared" si="2"/>
        <v>1.2869060459068042E-2</v>
      </c>
      <c r="J62" s="22">
        <f t="shared" si="9"/>
        <v>0.485087092938151</v>
      </c>
      <c r="K62">
        <f t="shared" si="10"/>
        <v>1.2786608173982916E-2</v>
      </c>
      <c r="L62">
        <v>1.2257718355900282E-3</v>
      </c>
      <c r="M62">
        <f t="shared" si="3"/>
        <v>1.2786608173982916E-2</v>
      </c>
      <c r="N62">
        <f t="shared" si="11"/>
        <v>0.485087092938151</v>
      </c>
      <c r="O62">
        <v>0.10887341449033799</v>
      </c>
      <c r="P62">
        <v>0.376213678447813</v>
      </c>
      <c r="Q62">
        <v>0.514912907061849</v>
      </c>
      <c r="R62">
        <f t="shared" si="4"/>
        <v>1</v>
      </c>
      <c r="S62">
        <f t="shared" si="5"/>
        <v>200</v>
      </c>
      <c r="T62">
        <v>395.02436237020368</v>
      </c>
      <c r="U62">
        <f t="shared" si="12"/>
        <v>595.91228734512458</v>
      </c>
      <c r="V62">
        <f t="shared" si="6"/>
        <v>0.2425435464690755</v>
      </c>
      <c r="W62">
        <f t="shared" si="13"/>
        <v>0.2441142855410465</v>
      </c>
    </row>
    <row r="63" spans="1:23">
      <c r="A63" s="2">
        <v>60</v>
      </c>
      <c r="B63" s="2">
        <v>70</v>
      </c>
      <c r="C63">
        <f t="shared" si="0"/>
        <v>0.84197316685852419</v>
      </c>
      <c r="D63" s="21">
        <v>0.10446023754769999</v>
      </c>
      <c r="E63">
        <f t="shared" si="1"/>
        <v>4.1379375346379345E-2</v>
      </c>
      <c r="F63" s="22">
        <f t="shared" si="7"/>
        <v>0.10446023754769999</v>
      </c>
      <c r="G63">
        <f t="shared" si="8"/>
        <v>4.0534936497556573E-2</v>
      </c>
      <c r="H63" s="21">
        <v>0.47887924921517699</v>
      </c>
      <c r="I63">
        <f t="shared" si="2"/>
        <v>1.2879971574594584E-2</v>
      </c>
      <c r="J63" s="22">
        <f t="shared" si="9"/>
        <v>0.47887924921517699</v>
      </c>
      <c r="K63">
        <f t="shared" si="10"/>
        <v>1.2797379714585611E-2</v>
      </c>
      <c r="L63">
        <v>1.3563645444001349E-3</v>
      </c>
      <c r="M63">
        <f t="shared" si="3"/>
        <v>1.2797379714585611E-2</v>
      </c>
      <c r="N63">
        <f t="shared" si="11"/>
        <v>0.47887924921517699</v>
      </c>
      <c r="O63">
        <v>0.10446023754769999</v>
      </c>
      <c r="P63">
        <v>0.37441901166747699</v>
      </c>
      <c r="Q63">
        <v>0.52112075078482301</v>
      </c>
      <c r="R63">
        <f t="shared" si="4"/>
        <v>1</v>
      </c>
      <c r="S63">
        <f t="shared" si="5"/>
        <v>200</v>
      </c>
      <c r="T63">
        <v>393.13996225085083</v>
      </c>
      <c r="U63">
        <f t="shared" si="12"/>
        <v>594.08216231052734</v>
      </c>
      <c r="V63">
        <f t="shared" si="6"/>
        <v>0.2394396246075885</v>
      </c>
      <c r="W63">
        <f t="shared" si="13"/>
        <v>0.240991585538332</v>
      </c>
    </row>
    <row r="64" spans="1:23" s="5" customFormat="1">
      <c r="A64" s="6">
        <v>61</v>
      </c>
      <c r="B64" s="6">
        <v>70.083333300000007</v>
      </c>
      <c r="C64" s="5">
        <f t="shared" si="0"/>
        <v>0.83956286689935877</v>
      </c>
      <c r="D64" s="21">
        <v>0.100099386406847</v>
      </c>
      <c r="E64">
        <f t="shared" si="1"/>
        <v>4.2642940559091118E-2</v>
      </c>
      <c r="F64" s="22">
        <f t="shared" si="7"/>
        <v>0.100099386406847</v>
      </c>
      <c r="G64">
        <f t="shared" si="8"/>
        <v>4.1746517557570084E-2</v>
      </c>
      <c r="H64" s="21">
        <v>0.472607229882748</v>
      </c>
      <c r="I64">
        <f t="shared" si="2"/>
        <v>1.3183813572679221E-2</v>
      </c>
      <c r="J64" s="22">
        <f t="shared" si="9"/>
        <v>0.472607229882748</v>
      </c>
      <c r="K64">
        <f t="shared" si="10"/>
        <v>1.3097287766609345E-2</v>
      </c>
      <c r="L64" s="5">
        <v>1.3563645444001349E-3</v>
      </c>
      <c r="M64" s="5">
        <f t="shared" si="3"/>
        <v>1.3097287766609345E-2</v>
      </c>
      <c r="N64" s="5">
        <f t="shared" si="11"/>
        <v>0.472607229882748</v>
      </c>
      <c r="O64" s="5">
        <v>0.100099386406847</v>
      </c>
      <c r="P64" s="5">
        <v>0.37250784347590099</v>
      </c>
      <c r="Q64" s="5">
        <v>0.52739277011725205</v>
      </c>
      <c r="R64">
        <f t="shared" si="4"/>
        <v>1</v>
      </c>
      <c r="S64">
        <f t="shared" si="5"/>
        <v>200</v>
      </c>
      <c r="T64" s="5">
        <v>391.13323564969602</v>
      </c>
      <c r="U64">
        <f t="shared" si="12"/>
        <v>592.13659895027342</v>
      </c>
      <c r="V64">
        <f t="shared" si="6"/>
        <v>0.236303614941374</v>
      </c>
      <c r="W64">
        <f t="shared" si="13"/>
        <v>0.23787161977448124</v>
      </c>
    </row>
    <row r="65" spans="1:23">
      <c r="A65" s="2">
        <v>62</v>
      </c>
      <c r="B65" s="2">
        <v>70.166666699999993</v>
      </c>
      <c r="C65">
        <f t="shared" si="0"/>
        <v>0.83715946685829234</v>
      </c>
      <c r="D65" s="21">
        <v>9.5798925977799501E-2</v>
      </c>
      <c r="E65">
        <f t="shared" si="1"/>
        <v>4.3912082674377011E-2</v>
      </c>
      <c r="F65" s="22">
        <f t="shared" si="7"/>
        <v>9.5798925977799501E-2</v>
      </c>
      <c r="G65">
        <f t="shared" si="8"/>
        <v>4.2961905995792748E-2</v>
      </c>
      <c r="H65" s="21">
        <v>0.46627537725041501</v>
      </c>
      <c r="I65">
        <f t="shared" si="2"/>
        <v>1.3488264841275159E-2</v>
      </c>
      <c r="J65" s="22">
        <f t="shared" si="9"/>
        <v>0.46627537725041501</v>
      </c>
      <c r="K65">
        <f t="shared" si="10"/>
        <v>1.3397705815681005E-2</v>
      </c>
      <c r="L65">
        <v>1.3563645444001349E-3</v>
      </c>
      <c r="M65">
        <f t="shared" si="3"/>
        <v>1.3397705815681005E-2</v>
      </c>
      <c r="N65">
        <f t="shared" si="11"/>
        <v>0.46627537725041501</v>
      </c>
      <c r="O65">
        <v>9.5798925977799501E-2</v>
      </c>
      <c r="P65">
        <v>0.37047645127261553</v>
      </c>
      <c r="Q65">
        <v>0.53372462274958499</v>
      </c>
      <c r="R65">
        <f t="shared" si="4"/>
        <v>1</v>
      </c>
      <c r="S65">
        <f t="shared" si="5"/>
        <v>200</v>
      </c>
      <c r="T65">
        <v>389.00027383624632</v>
      </c>
      <c r="U65">
        <f t="shared" si="12"/>
        <v>590.06675474297117</v>
      </c>
      <c r="V65">
        <f t="shared" si="6"/>
        <v>0.23313768862520751</v>
      </c>
      <c r="W65">
        <f t="shared" si="13"/>
        <v>0.23472065178329077</v>
      </c>
    </row>
    <row r="66" spans="1:23">
      <c r="A66" s="2">
        <v>63</v>
      </c>
      <c r="B66" s="2">
        <v>70.25</v>
      </c>
      <c r="C66">
        <f t="shared" si="0"/>
        <v>0.83476294698306597</v>
      </c>
      <c r="D66" s="21">
        <v>9.1566433925200794E-2</v>
      </c>
      <c r="E66">
        <f t="shared" si="1"/>
        <v>4.5186711167044265E-2</v>
      </c>
      <c r="F66" s="22">
        <f t="shared" si="7"/>
        <v>9.1566433925200794E-2</v>
      </c>
      <c r="G66">
        <f t="shared" si="8"/>
        <v>4.4180996909918835E-2</v>
      </c>
      <c r="H66" s="21">
        <v>0.45988804663245197</v>
      </c>
      <c r="I66">
        <f t="shared" si="2"/>
        <v>1.379331491976701E-2</v>
      </c>
      <c r="J66" s="22">
        <f t="shared" si="9"/>
        <v>0.45988804663245197</v>
      </c>
      <c r="K66">
        <f t="shared" si="10"/>
        <v>1.369862302321978E-2</v>
      </c>
      <c r="L66">
        <v>1.3563645444001349E-3</v>
      </c>
      <c r="M66">
        <f t="shared" si="3"/>
        <v>1.369862302321978E-2</v>
      </c>
      <c r="N66">
        <f t="shared" si="11"/>
        <v>0.45988804663245197</v>
      </c>
      <c r="O66">
        <v>9.1566433925200794E-2</v>
      </c>
      <c r="P66">
        <v>0.36832161270725117</v>
      </c>
      <c r="Q66">
        <v>0.54011195336754803</v>
      </c>
      <c r="R66">
        <f t="shared" si="4"/>
        <v>1</v>
      </c>
      <c r="S66">
        <f t="shared" si="5"/>
        <v>200</v>
      </c>
      <c r="T66">
        <v>386.73769334261374</v>
      </c>
      <c r="U66">
        <f t="shared" si="12"/>
        <v>587.86898358943006</v>
      </c>
      <c r="V66">
        <f t="shared" si="6"/>
        <v>0.22994402331622599</v>
      </c>
      <c r="W66">
        <f t="shared" si="13"/>
        <v>0.23154085597071675</v>
      </c>
    </row>
    <row r="67" spans="1:23">
      <c r="A67" s="2">
        <v>64</v>
      </c>
      <c r="B67" s="2">
        <v>70.333333300000007</v>
      </c>
      <c r="C67">
        <f t="shared" ref="C67:C130" si="14">1/(1+Disc_rate_per_cyc)^$A67</f>
        <v>0.8323732875779648</v>
      </c>
      <c r="D67" s="21">
        <v>8.74089800567939E-2</v>
      </c>
      <c r="E67">
        <f t="shared" si="1"/>
        <v>4.646673863058403E-2</v>
      </c>
      <c r="F67" s="22">
        <f t="shared" si="7"/>
        <v>8.74089800567939E-2</v>
      </c>
      <c r="G67">
        <f t="shared" si="8"/>
        <v>4.5403688777516993E-2</v>
      </c>
      <c r="H67" s="21">
        <v>0.45344960067885998</v>
      </c>
      <c r="I67">
        <f t="shared" si="2"/>
        <v>1.4098953711840754E-2</v>
      </c>
      <c r="J67" s="22">
        <f t="shared" si="9"/>
        <v>0.45344960067885998</v>
      </c>
      <c r="K67">
        <f t="shared" si="10"/>
        <v>1.4000028921685947E-2</v>
      </c>
      <c r="L67">
        <v>1.3563645444001349E-3</v>
      </c>
      <c r="M67">
        <f t="shared" si="3"/>
        <v>1.4000028921685947E-2</v>
      </c>
      <c r="N67">
        <f t="shared" si="11"/>
        <v>0.45344960067885998</v>
      </c>
      <c r="O67">
        <v>8.74089800567939E-2</v>
      </c>
      <c r="P67">
        <v>0.3660406206220661</v>
      </c>
      <c r="Q67">
        <v>0.54655039932114002</v>
      </c>
      <c r="R67">
        <f t="shared" si="4"/>
        <v>1</v>
      </c>
      <c r="S67">
        <f t="shared" si="5"/>
        <v>200</v>
      </c>
      <c r="T67">
        <v>384.34265165316941</v>
      </c>
      <c r="U67">
        <f t="shared" si="12"/>
        <v>585.5401724978916</v>
      </c>
      <c r="V67">
        <f t="shared" si="6"/>
        <v>0.22672480033942999</v>
      </c>
      <c r="W67">
        <f t="shared" si="13"/>
        <v>0.22833441182782799</v>
      </c>
    </row>
    <row r="68" spans="1:23">
      <c r="A68" s="2">
        <v>65</v>
      </c>
      <c r="B68" s="2">
        <v>70.416666699999993</v>
      </c>
      <c r="C68">
        <f t="shared" si="14"/>
        <v>0.82999046900365647</v>
      </c>
      <c r="D68" s="21">
        <v>8.3333109518401394E-2</v>
      </c>
      <c r="E68">
        <f t="shared" ref="E68:E131" si="15">-LN(D68/D67)*psa_hrscl_pfs_VtUs</f>
        <v>4.7752080617307131E-2</v>
      </c>
      <c r="F68" s="22">
        <f t="shared" si="7"/>
        <v>8.3333109518401394E-2</v>
      </c>
      <c r="G68">
        <f t="shared" si="8"/>
        <v>4.6629883288241247E-2</v>
      </c>
      <c r="H68" s="21">
        <v>0.44696440376065899</v>
      </c>
      <c r="I68">
        <f t="shared" ref="I68:I131" si="16">-LN(H68/H67)*PSA_trtHRsclr_os_VtUs</f>
        <v>1.4405171466781889E-2</v>
      </c>
      <c r="J68" s="22">
        <f t="shared" si="9"/>
        <v>0.44696440376065899</v>
      </c>
      <c r="K68">
        <f t="shared" si="10"/>
        <v>1.4301913395649679E-2</v>
      </c>
      <c r="L68">
        <v>1.3563645444001349E-3</v>
      </c>
      <c r="M68">
        <f t="shared" ref="M68:M131" si="17">MAX(K68:L68)</f>
        <v>1.4301913395649679E-2</v>
      </c>
      <c r="N68">
        <f t="shared" si="11"/>
        <v>0.44696440376065899</v>
      </c>
      <c r="O68">
        <v>8.3333109518401394E-2</v>
      </c>
      <c r="P68">
        <v>0.3636312942422576</v>
      </c>
      <c r="Q68">
        <v>0.55303559623934095</v>
      </c>
      <c r="R68">
        <f t="shared" ref="R68:R131" si="18">SUM(O68:Q68)</f>
        <v>1</v>
      </c>
      <c r="S68">
        <f t="shared" ref="S68:S131" si="19">IF(A68&lt;24,O68*trt_lst_price*(1-trt_pas_disc),Mntr_Adm_cst_VtUs)</f>
        <v>200</v>
      </c>
      <c r="T68">
        <v>381.81285895437048</v>
      </c>
      <c r="U68">
        <f t="shared" si="12"/>
        <v>583.07775530377</v>
      </c>
      <c r="V68">
        <f t="shared" ref="V68:V131" si="20">IF(A67&lt;=3,pd_ulty_VtUs-Utlty_AE_Disutlt,pd_ulty_VtUs)*O68+pd_ulty_VtUs*P68</f>
        <v>0.2234822018803295</v>
      </c>
      <c r="W68">
        <f t="shared" si="13"/>
        <v>0.22510350110987976</v>
      </c>
    </row>
    <row r="69" spans="1:23">
      <c r="A69" s="2">
        <v>66</v>
      </c>
      <c r="B69" s="2">
        <v>70.5</v>
      </c>
      <c r="C69">
        <f t="shared" si="14"/>
        <v>0.82761447167702951</v>
      </c>
      <c r="D69" s="21">
        <v>7.9344829797798902E-2</v>
      </c>
      <c r="E69">
        <f t="shared" si="15"/>
        <v>4.9042655489283549E-2</v>
      </c>
      <c r="F69" s="22">
        <f t="shared" ref="F69:F132" si="21">D68*EXP(-E69)</f>
        <v>7.9344829797798902E-2</v>
      </c>
      <c r="G69">
        <f t="shared" ref="G69:G132" si="22">1-D69/D68</f>
        <v>4.7859485187238926E-2</v>
      </c>
      <c r="H69" s="21">
        <v>0.44043681641878901</v>
      </c>
      <c r="I69">
        <f t="shared" si="16"/>
        <v>1.4711958761976195E-2</v>
      </c>
      <c r="J69" s="22">
        <f t="shared" ref="J69:J132" si="23">H68*EXP(-I69)</f>
        <v>0.44043681641878901</v>
      </c>
      <c r="K69">
        <f t="shared" ref="K69:K132" si="24">1-J69/J68</f>
        <v>1.4604266664075105E-2</v>
      </c>
      <c r="L69">
        <v>1.3563645444001349E-3</v>
      </c>
      <c r="M69">
        <f t="shared" si="17"/>
        <v>1.4604266664075105E-2</v>
      </c>
      <c r="N69">
        <f t="shared" ref="N69:N132" si="25">N68*(1-M69)</f>
        <v>0.44043681641878901</v>
      </c>
      <c r="O69">
        <v>7.9344829797798902E-2</v>
      </c>
      <c r="P69">
        <v>0.36109198662099012</v>
      </c>
      <c r="Q69">
        <v>0.55956318358121093</v>
      </c>
      <c r="R69">
        <f t="shared" si="18"/>
        <v>1</v>
      </c>
      <c r="S69">
        <f t="shared" si="19"/>
        <v>200</v>
      </c>
      <c r="T69">
        <v>379.14658595203963</v>
      </c>
      <c r="U69">
        <f t="shared" ref="U69:U132" si="26">(S69+T69+S68+T68)/2</f>
        <v>580.47972245320511</v>
      </c>
      <c r="V69">
        <f t="shared" si="20"/>
        <v>0.22021840820939451</v>
      </c>
      <c r="W69">
        <f t="shared" si="13"/>
        <v>0.221850305044862</v>
      </c>
    </row>
    <row r="70" spans="1:23">
      <c r="A70" s="2">
        <v>67</v>
      </c>
      <c r="B70" s="2">
        <v>70.583333300000007</v>
      </c>
      <c r="C70">
        <f t="shared" si="14"/>
        <v>0.82524527607103304</v>
      </c>
      <c r="D70" s="21">
        <v>7.5449601506530697E-2</v>
      </c>
      <c r="E70">
        <f t="shared" si="15"/>
        <v>5.0338384279068643E-2</v>
      </c>
      <c r="F70" s="22">
        <f t="shared" si="21"/>
        <v>7.5449601506530697E-2</v>
      </c>
      <c r="G70">
        <f t="shared" si="22"/>
        <v>4.9092402128717683E-2</v>
      </c>
      <c r="H70" s="21">
        <v>0.43387118988572498</v>
      </c>
      <c r="I70">
        <f t="shared" si="16"/>
        <v>1.5019306486626452E-2</v>
      </c>
      <c r="J70" s="22">
        <f t="shared" si="23"/>
        <v>0.43387118988572498</v>
      </c>
      <c r="K70">
        <f t="shared" si="24"/>
        <v>1.4907079263830503E-2</v>
      </c>
      <c r="L70">
        <v>1.3563645444001349E-3</v>
      </c>
      <c r="M70">
        <f t="shared" si="17"/>
        <v>1.4907079263830503E-2</v>
      </c>
      <c r="N70">
        <f t="shared" si="25"/>
        <v>0.43387118988572498</v>
      </c>
      <c r="O70">
        <v>7.5449601506530697E-2</v>
      </c>
      <c r="P70">
        <v>0.3584215883791943</v>
      </c>
      <c r="Q70">
        <v>0.56612881011427496</v>
      </c>
      <c r="R70">
        <f t="shared" si="18"/>
        <v>1</v>
      </c>
      <c r="S70">
        <f t="shared" si="19"/>
        <v>200</v>
      </c>
      <c r="T70">
        <v>376.34266779815403</v>
      </c>
      <c r="U70">
        <f t="shared" si="26"/>
        <v>577.74462687509686</v>
      </c>
      <c r="V70">
        <f t="shared" si="20"/>
        <v>0.21693559494286249</v>
      </c>
      <c r="W70">
        <f t="shared" ref="W70:W133" si="27">(V69+V70)/2</f>
        <v>0.2185770015761285</v>
      </c>
    </row>
    <row r="71" spans="1:23">
      <c r="A71" s="2">
        <v>68</v>
      </c>
      <c r="B71" s="2">
        <v>70.666666699999993</v>
      </c>
      <c r="C71">
        <f t="shared" si="14"/>
        <v>0.82288286271451594</v>
      </c>
      <c r="D71" s="21">
        <v>7.1652332876665295E-2</v>
      </c>
      <c r="E71">
        <f t="shared" si="15"/>
        <v>5.1639190559495417E-2</v>
      </c>
      <c r="F71" s="22">
        <f t="shared" si="21"/>
        <v>7.1652332876665295E-2</v>
      </c>
      <c r="G71">
        <f t="shared" si="22"/>
        <v>5.032854453892277E-2</v>
      </c>
      <c r="H71" s="21">
        <v>0.42727186068876799</v>
      </c>
      <c r="I71">
        <f t="shared" si="16"/>
        <v>1.5327205826482247E-2</v>
      </c>
      <c r="J71" s="22">
        <f t="shared" si="23"/>
        <v>0.42727186068876799</v>
      </c>
      <c r="K71">
        <f t="shared" si="24"/>
        <v>1.5210342034222557E-2</v>
      </c>
      <c r="L71">
        <v>1.3563645444001349E-3</v>
      </c>
      <c r="M71">
        <f t="shared" si="17"/>
        <v>1.5210342034222557E-2</v>
      </c>
      <c r="N71">
        <f t="shared" si="25"/>
        <v>0.42727186068876799</v>
      </c>
      <c r="O71">
        <v>7.1652332876665295E-2</v>
      </c>
      <c r="P71">
        <v>0.35561952781210271</v>
      </c>
      <c r="Q71">
        <v>0.57272813931123201</v>
      </c>
      <c r="R71">
        <f t="shared" si="18"/>
        <v>1</v>
      </c>
      <c r="S71">
        <f t="shared" si="19"/>
        <v>200</v>
      </c>
      <c r="T71">
        <v>373.40050420270785</v>
      </c>
      <c r="U71">
        <f t="shared" si="26"/>
        <v>574.87158600043097</v>
      </c>
      <c r="V71">
        <f t="shared" si="20"/>
        <v>0.213635930344384</v>
      </c>
      <c r="W71">
        <f t="shared" si="27"/>
        <v>0.21528576264362326</v>
      </c>
    </row>
    <row r="72" spans="1:23">
      <c r="A72" s="2">
        <v>69</v>
      </c>
      <c r="B72" s="2">
        <v>70.75</v>
      </c>
      <c r="C72">
        <f t="shared" si="14"/>
        <v>0.82052721219206615</v>
      </c>
      <c r="D72" s="21">
        <v>6.7957377879091799E-2</v>
      </c>
      <c r="E72">
        <f t="shared" si="15"/>
        <v>5.2945000321771116E-2</v>
      </c>
      <c r="F72" s="22">
        <f t="shared" si="21"/>
        <v>6.7957377879091799E-2</v>
      </c>
      <c r="G72">
        <f t="shared" si="22"/>
        <v>5.1567825487742303E-2</v>
      </c>
      <c r="H72" s="21">
        <v>0.42064314534372699</v>
      </c>
      <c r="I72">
        <f t="shared" si="16"/>
        <v>1.5635648249563702E-2</v>
      </c>
      <c r="J72" s="22">
        <f t="shared" si="23"/>
        <v>0.42064314534372699</v>
      </c>
      <c r="K72">
        <f t="shared" si="24"/>
        <v>1.5514046102533929E-2</v>
      </c>
      <c r="L72">
        <v>1.3563645444001349E-3</v>
      </c>
      <c r="M72">
        <f t="shared" si="17"/>
        <v>1.5514046102533929E-2</v>
      </c>
      <c r="N72">
        <f t="shared" si="25"/>
        <v>0.42064314534372699</v>
      </c>
      <c r="O72">
        <v>6.7957377879091799E-2</v>
      </c>
      <c r="P72">
        <v>0.3526857674646352</v>
      </c>
      <c r="Q72">
        <v>0.57935685465627307</v>
      </c>
      <c r="R72">
        <f t="shared" si="18"/>
        <v>1</v>
      </c>
      <c r="S72">
        <f t="shared" si="19"/>
        <v>200</v>
      </c>
      <c r="T72">
        <v>370.32005583786696</v>
      </c>
      <c r="U72">
        <f t="shared" si="26"/>
        <v>571.86028002028741</v>
      </c>
      <c r="V72">
        <f t="shared" si="20"/>
        <v>0.21032157267186349</v>
      </c>
      <c r="W72">
        <f t="shared" si="27"/>
        <v>0.21197875150812373</v>
      </c>
    </row>
    <row r="73" spans="1:23">
      <c r="A73" s="2">
        <v>70</v>
      </c>
      <c r="B73" s="2">
        <v>70.833333300000007</v>
      </c>
      <c r="C73">
        <f t="shared" si="14"/>
        <v>0.81817830514385237</v>
      </c>
      <c r="D73" s="21">
        <v>6.4368537841496501E-2</v>
      </c>
      <c r="E73">
        <f t="shared" si="15"/>
        <v>5.4255741861257409E-2</v>
      </c>
      <c r="F73" s="22">
        <f t="shared" si="21"/>
        <v>6.4368537841496501E-2</v>
      </c>
      <c r="G73">
        <f t="shared" si="22"/>
        <v>5.2810160568297349E-2</v>
      </c>
      <c r="H73" s="21">
        <v>0.41398933514747099</v>
      </c>
      <c r="I73">
        <f t="shared" si="16"/>
        <v>1.5944625492783575E-2</v>
      </c>
      <c r="J73" s="22">
        <f t="shared" si="23"/>
        <v>0.41398933514747099</v>
      </c>
      <c r="K73">
        <f t="shared" si="24"/>
        <v>1.5818182870468211E-2</v>
      </c>
      <c r="L73">
        <v>1.3563645444001349E-3</v>
      </c>
      <c r="M73">
        <f t="shared" si="17"/>
        <v>1.5818182870468211E-2</v>
      </c>
      <c r="N73">
        <f t="shared" si="25"/>
        <v>0.41398933514747099</v>
      </c>
      <c r="O73">
        <v>6.4368537841496501E-2</v>
      </c>
      <c r="P73">
        <v>0.34962079730597451</v>
      </c>
      <c r="Q73">
        <v>0.58601066485252895</v>
      </c>
      <c r="R73">
        <f t="shared" si="18"/>
        <v>1</v>
      </c>
      <c r="S73">
        <f t="shared" si="19"/>
        <v>200</v>
      </c>
      <c r="T73">
        <v>367.10183717127325</v>
      </c>
      <c r="U73">
        <f t="shared" si="26"/>
        <v>568.71094650457007</v>
      </c>
      <c r="V73">
        <f t="shared" si="20"/>
        <v>0.2069946675737355</v>
      </c>
      <c r="W73">
        <f t="shared" si="27"/>
        <v>0.2086581201227995</v>
      </c>
    </row>
    <row r="74" spans="1:23">
      <c r="A74" s="2">
        <v>71</v>
      </c>
      <c r="B74" s="2">
        <v>70.916666699999993</v>
      </c>
      <c r="C74">
        <f t="shared" si="14"/>
        <v>0.81583612226546398</v>
      </c>
      <c r="D74" s="21">
        <v>6.0889066417910399E-2</v>
      </c>
      <c r="E74">
        <f t="shared" si="15"/>
        <v>5.5571345670308803E-2</v>
      </c>
      <c r="F74" s="22">
        <f t="shared" si="21"/>
        <v>6.0889066417910399E-2</v>
      </c>
      <c r="G74">
        <f t="shared" si="22"/>
        <v>5.4055467783874156E-2</v>
      </c>
      <c r="H74" s="21">
        <v>0.40731469107756402</v>
      </c>
      <c r="I74">
        <f t="shared" si="16"/>
        <v>1.625412954940118E-2</v>
      </c>
      <c r="J74" s="22">
        <f t="shared" si="23"/>
        <v>0.40731469107756402</v>
      </c>
      <c r="K74">
        <f t="shared" si="24"/>
        <v>1.6122744001435096E-2</v>
      </c>
      <c r="L74">
        <v>1.3563645444001349E-3</v>
      </c>
      <c r="M74">
        <f t="shared" si="17"/>
        <v>1.6122744001435096E-2</v>
      </c>
      <c r="N74">
        <f t="shared" si="25"/>
        <v>0.40731469107756402</v>
      </c>
      <c r="O74">
        <v>6.0889066417910399E-2</v>
      </c>
      <c r="P74">
        <v>0.3464256246596536</v>
      </c>
      <c r="Q74">
        <v>0.59268530892243598</v>
      </c>
      <c r="R74">
        <f t="shared" si="18"/>
        <v>1</v>
      </c>
      <c r="S74">
        <f t="shared" si="19"/>
        <v>200</v>
      </c>
      <c r="T74">
        <v>363.74690589263628</v>
      </c>
      <c r="U74">
        <f t="shared" si="26"/>
        <v>565.42437153195476</v>
      </c>
      <c r="V74">
        <f t="shared" si="20"/>
        <v>0.20365734553878201</v>
      </c>
      <c r="W74">
        <f t="shared" si="27"/>
        <v>0.20532600655625877</v>
      </c>
    </row>
    <row r="75" spans="1:23">
      <c r="A75" s="2">
        <v>72</v>
      </c>
      <c r="B75" s="2">
        <v>71</v>
      </c>
      <c r="C75">
        <f t="shared" si="14"/>
        <v>0.81350064430775304</v>
      </c>
      <c r="D75" s="21">
        <v>5.7521677737900297E-2</v>
      </c>
      <c r="E75">
        <f t="shared" si="15"/>
        <v>5.6891744337664002E-2</v>
      </c>
      <c r="F75" s="22">
        <f t="shared" si="21"/>
        <v>5.7521677737900297E-2</v>
      </c>
      <c r="G75">
        <f t="shared" si="22"/>
        <v>5.5303667441673809E-2</v>
      </c>
      <c r="H75" s="21">
        <v>0.40062343880690998</v>
      </c>
      <c r="I75">
        <f t="shared" si="16"/>
        <v>1.6564152657237263E-2</v>
      </c>
      <c r="J75" s="22">
        <f t="shared" si="23"/>
        <v>0.40062343880690998</v>
      </c>
      <c r="K75">
        <f t="shared" si="24"/>
        <v>1.642772140860449E-2</v>
      </c>
      <c r="L75">
        <v>1.4847312091894604E-3</v>
      </c>
      <c r="M75">
        <f t="shared" si="17"/>
        <v>1.642772140860449E-2</v>
      </c>
      <c r="N75">
        <f t="shared" si="25"/>
        <v>0.40062343880690998</v>
      </c>
      <c r="O75">
        <v>5.7521677737900297E-2</v>
      </c>
      <c r="P75">
        <v>0.34310176106900969</v>
      </c>
      <c r="Q75">
        <v>0.59937656119309002</v>
      </c>
      <c r="R75">
        <f t="shared" si="18"/>
        <v>1</v>
      </c>
      <c r="S75">
        <f t="shared" si="19"/>
        <v>200</v>
      </c>
      <c r="T75">
        <v>360.25684912246015</v>
      </c>
      <c r="U75">
        <f t="shared" si="26"/>
        <v>562.00187750754822</v>
      </c>
      <c r="V75">
        <f t="shared" si="20"/>
        <v>0.20031171940345499</v>
      </c>
      <c r="W75">
        <f t="shared" si="27"/>
        <v>0.2019845324711185</v>
      </c>
    </row>
    <row r="76" spans="1:23">
      <c r="A76" s="2">
        <v>73</v>
      </c>
      <c r="B76" s="2">
        <v>71.083333300000007</v>
      </c>
      <c r="C76">
        <f t="shared" si="14"/>
        <v>0.81117185207667486</v>
      </c>
      <c r="D76" s="21">
        <v>5.4268557542286301E-2</v>
      </c>
      <c r="E76">
        <f t="shared" si="15"/>
        <v>5.821687245388571E-2</v>
      </c>
      <c r="F76" s="22">
        <f t="shared" si="21"/>
        <v>5.4268557542286301E-2</v>
      </c>
      <c r="G76">
        <f t="shared" si="22"/>
        <v>5.6554682052859406E-2</v>
      </c>
      <c r="H76" s="21">
        <v>0.39391976384102401</v>
      </c>
      <c r="I76">
        <f t="shared" si="16"/>
        <v>1.6874687287595971E-2</v>
      </c>
      <c r="J76" s="22">
        <f t="shared" si="23"/>
        <v>0.39391976384102401</v>
      </c>
      <c r="K76">
        <f t="shared" si="24"/>
        <v>1.673310724367516E-2</v>
      </c>
      <c r="L76">
        <v>1.4847312091894604E-3</v>
      </c>
      <c r="M76">
        <f t="shared" si="17"/>
        <v>1.673310724367516E-2</v>
      </c>
      <c r="N76">
        <f t="shared" si="25"/>
        <v>0.39391976384102401</v>
      </c>
      <c r="O76">
        <v>5.4268557542286301E-2</v>
      </c>
      <c r="P76">
        <v>0.33965120629873768</v>
      </c>
      <c r="Q76">
        <v>0.60608023615897599</v>
      </c>
      <c r="R76">
        <f t="shared" si="18"/>
        <v>1</v>
      </c>
      <c r="S76">
        <f t="shared" si="19"/>
        <v>200</v>
      </c>
      <c r="T76">
        <v>356.6337666136746</v>
      </c>
      <c r="U76">
        <f t="shared" si="26"/>
        <v>558.4453078680674</v>
      </c>
      <c r="V76">
        <f t="shared" si="20"/>
        <v>0.196959881920512</v>
      </c>
      <c r="W76">
        <f t="shared" si="27"/>
        <v>0.1986358006619835</v>
      </c>
    </row>
    <row r="77" spans="1:23">
      <c r="A77" s="2">
        <v>74</v>
      </c>
      <c r="B77" s="2">
        <v>71.166666699999993</v>
      </c>
      <c r="C77">
        <f t="shared" si="14"/>
        <v>0.80884972643313269</v>
      </c>
      <c r="D77" s="21">
        <v>5.1131377093850898E-2</v>
      </c>
      <c r="E77">
        <f t="shared" si="15"/>
        <v>5.9546666522403958E-2</v>
      </c>
      <c r="F77" s="22">
        <f t="shared" si="21"/>
        <v>5.1131377093850898E-2</v>
      </c>
      <c r="G77">
        <f t="shared" si="22"/>
        <v>5.7808436238440564E-2</v>
      </c>
      <c r="H77" s="21">
        <v>0.387207806785208</v>
      </c>
      <c r="I77">
        <f t="shared" si="16"/>
        <v>1.718572613486849E-2</v>
      </c>
      <c r="J77" s="22">
        <f t="shared" si="23"/>
        <v>0.387207806785208</v>
      </c>
      <c r="K77">
        <f t="shared" si="24"/>
        <v>1.7038893886331619E-2</v>
      </c>
      <c r="L77">
        <v>1.4847312091894604E-3</v>
      </c>
      <c r="M77">
        <f t="shared" si="17"/>
        <v>1.7038893886331619E-2</v>
      </c>
      <c r="N77">
        <f t="shared" si="25"/>
        <v>0.387207806785208</v>
      </c>
      <c r="O77">
        <v>5.1131377093850898E-2</v>
      </c>
      <c r="P77">
        <v>0.33607642969135709</v>
      </c>
      <c r="Q77">
        <v>0.61279219321479195</v>
      </c>
      <c r="R77">
        <f t="shared" si="18"/>
        <v>1</v>
      </c>
      <c r="S77">
        <f t="shared" si="19"/>
        <v>200</v>
      </c>
      <c r="T77">
        <v>352.88025117592497</v>
      </c>
      <c r="U77">
        <f t="shared" si="26"/>
        <v>554.75700889479981</v>
      </c>
      <c r="V77">
        <f t="shared" si="20"/>
        <v>0.193603903392604</v>
      </c>
      <c r="W77">
        <f t="shared" si="27"/>
        <v>0.19528189265655799</v>
      </c>
    </row>
    <row r="78" spans="1:23">
      <c r="A78" s="2">
        <v>75</v>
      </c>
      <c r="B78" s="2">
        <v>71.25</v>
      </c>
      <c r="C78">
        <f t="shared" si="14"/>
        <v>0.8065342482928175</v>
      </c>
      <c r="D78" s="21">
        <v>4.8111309635967998E-2</v>
      </c>
      <c r="E78">
        <f t="shared" si="15"/>
        <v>6.0881064875744434E-2</v>
      </c>
      <c r="F78" s="22">
        <f t="shared" si="21"/>
        <v>4.8111309635967998E-2</v>
      </c>
      <c r="G78">
        <f t="shared" si="22"/>
        <v>5.9064856640563601E-2</v>
      </c>
      <c r="H78" s="21">
        <v>0.38049165874858998</v>
      </c>
      <c r="I78">
        <f t="shared" si="16"/>
        <v>1.7497262106703809E-2</v>
      </c>
      <c r="J78" s="22">
        <f t="shared" si="23"/>
        <v>0.38049165874858998</v>
      </c>
      <c r="K78">
        <f t="shared" si="24"/>
        <v>1.7345073934275312E-2</v>
      </c>
      <c r="L78">
        <v>1.4847312091894604E-3</v>
      </c>
      <c r="M78">
        <f t="shared" si="17"/>
        <v>1.7345073934275312E-2</v>
      </c>
      <c r="N78">
        <f t="shared" si="25"/>
        <v>0.38049165874858998</v>
      </c>
      <c r="O78">
        <v>4.8111309635967998E-2</v>
      </c>
      <c r="P78">
        <v>0.33238034911262199</v>
      </c>
      <c r="Q78">
        <v>0.61950834125140997</v>
      </c>
      <c r="R78">
        <f t="shared" si="18"/>
        <v>1</v>
      </c>
      <c r="S78">
        <f t="shared" si="19"/>
        <v>200</v>
      </c>
      <c r="T78">
        <v>348.99936656825309</v>
      </c>
      <c r="U78">
        <f t="shared" si="26"/>
        <v>550.93980887208909</v>
      </c>
      <c r="V78">
        <f t="shared" si="20"/>
        <v>0.19024582937429499</v>
      </c>
      <c r="W78">
        <f t="shared" si="27"/>
        <v>0.19192486638344949</v>
      </c>
    </row>
    <row r="79" spans="1:23">
      <c r="A79" s="2">
        <v>76</v>
      </c>
      <c r="B79" s="2">
        <v>71.333333300000007</v>
      </c>
      <c r="C79">
        <f t="shared" si="14"/>
        <v>0.80422539862605291</v>
      </c>
      <c r="D79" s="21">
        <v>4.5209049159488902E-2</v>
      </c>
      <c r="E79">
        <f t="shared" si="15"/>
        <v>6.222000759659322E-2</v>
      </c>
      <c r="F79" s="22">
        <f t="shared" si="21"/>
        <v>4.5209049159488902E-2</v>
      </c>
      <c r="G79">
        <f t="shared" si="22"/>
        <v>6.0323871838844467E-2</v>
      </c>
      <c r="H79" s="21">
        <v>0.37377535689159602</v>
      </c>
      <c r="I79">
        <f t="shared" si="16"/>
        <v>1.7809288314774966E-2</v>
      </c>
      <c r="J79" s="22">
        <f t="shared" si="23"/>
        <v>0.37377535689159602</v>
      </c>
      <c r="K79">
        <f t="shared" si="24"/>
        <v>1.765164019385701E-2</v>
      </c>
      <c r="L79">
        <v>1.4847312091894604E-3</v>
      </c>
      <c r="M79">
        <f t="shared" si="17"/>
        <v>1.765164019385701E-2</v>
      </c>
      <c r="N79">
        <f t="shared" si="25"/>
        <v>0.37377535689159602</v>
      </c>
      <c r="O79">
        <v>4.5209049159488902E-2</v>
      </c>
      <c r="P79">
        <v>0.3285663077321071</v>
      </c>
      <c r="Q79">
        <v>0.62622464310840398</v>
      </c>
      <c r="R79">
        <f t="shared" si="18"/>
        <v>1</v>
      </c>
      <c r="S79">
        <f t="shared" si="19"/>
        <v>200</v>
      </c>
      <c r="T79">
        <v>344.99462311871247</v>
      </c>
      <c r="U79">
        <f t="shared" si="26"/>
        <v>546.99699484348275</v>
      </c>
      <c r="V79">
        <f t="shared" si="20"/>
        <v>0.18688767844579801</v>
      </c>
      <c r="W79">
        <f t="shared" si="27"/>
        <v>0.18856675391004651</v>
      </c>
    </row>
    <row r="80" spans="1:23">
      <c r="A80" s="2">
        <v>77</v>
      </c>
      <c r="B80" s="2">
        <v>71.416666699999993</v>
      </c>
      <c r="C80">
        <f t="shared" si="14"/>
        <v>0.80192315845763928</v>
      </c>
      <c r="D80" s="21">
        <v>4.24248312286052E-2</v>
      </c>
      <c r="E80">
        <f t="shared" si="15"/>
        <v>6.3563436443332885E-2</v>
      </c>
      <c r="F80" s="22">
        <f t="shared" si="21"/>
        <v>4.24248312286052E-2</v>
      </c>
      <c r="G80">
        <f t="shared" si="22"/>
        <v>6.1585412271368822E-2</v>
      </c>
      <c r="H80" s="21">
        <v>0.36706288012305899</v>
      </c>
      <c r="I80">
        <f t="shared" si="16"/>
        <v>1.8121798066073069E-2</v>
      </c>
      <c r="J80" s="22">
        <f t="shared" si="23"/>
        <v>0.36706288012305899</v>
      </c>
      <c r="K80">
        <f t="shared" si="24"/>
        <v>1.7958585671242644E-2</v>
      </c>
      <c r="L80">
        <v>1.4847312091894604E-3</v>
      </c>
      <c r="M80">
        <f t="shared" si="17"/>
        <v>1.7958585671242644E-2</v>
      </c>
      <c r="N80">
        <f t="shared" si="25"/>
        <v>0.36706288012305899</v>
      </c>
      <c r="O80">
        <v>4.24248312286052E-2</v>
      </c>
      <c r="P80">
        <v>0.3246380488944538</v>
      </c>
      <c r="Q80">
        <v>0.63293711987694101</v>
      </c>
      <c r="R80">
        <f t="shared" si="18"/>
        <v>1</v>
      </c>
      <c r="S80">
        <f t="shared" si="19"/>
        <v>200</v>
      </c>
      <c r="T80">
        <v>340.86995133917651</v>
      </c>
      <c r="U80">
        <f t="shared" si="26"/>
        <v>542.93228722894446</v>
      </c>
      <c r="V80">
        <f t="shared" si="20"/>
        <v>0.18353144006152949</v>
      </c>
      <c r="W80">
        <f t="shared" si="27"/>
        <v>0.18520955925366375</v>
      </c>
    </row>
    <row r="81" spans="1:23">
      <c r="A81" s="2">
        <v>78</v>
      </c>
      <c r="B81" s="2">
        <v>71.5</v>
      </c>
      <c r="C81">
        <f t="shared" si="14"/>
        <v>0.7996275088666952</v>
      </c>
      <c r="D81" s="21">
        <v>3.9758455609747501E-2</v>
      </c>
      <c r="E81">
        <f t="shared" si="15"/>
        <v>6.4911294779757503E-2</v>
      </c>
      <c r="F81" s="22">
        <f t="shared" si="21"/>
        <v>3.9758455609747501E-2</v>
      </c>
      <c r="G81">
        <f t="shared" si="22"/>
        <v>6.284941016005452E-2</v>
      </c>
      <c r="H81" s="21">
        <v>0.36035814495278701</v>
      </c>
      <c r="I81">
        <f t="shared" si="16"/>
        <v>1.8434784854671139E-2</v>
      </c>
      <c r="J81" s="22">
        <f t="shared" si="23"/>
        <v>0.36035814495278701</v>
      </c>
      <c r="K81">
        <f t="shared" si="24"/>
        <v>1.8265903564054775E-2</v>
      </c>
      <c r="L81">
        <v>1.4847312091894604E-3</v>
      </c>
      <c r="M81">
        <f t="shared" si="17"/>
        <v>1.8265903564054775E-2</v>
      </c>
      <c r="N81">
        <f t="shared" si="25"/>
        <v>0.36035814495278701</v>
      </c>
      <c r="O81">
        <v>3.9758455609747501E-2</v>
      </c>
      <c r="P81">
        <v>0.32059968934303951</v>
      </c>
      <c r="Q81">
        <v>0.63964185504721294</v>
      </c>
      <c r="R81">
        <f t="shared" si="18"/>
        <v>1</v>
      </c>
      <c r="S81">
        <f t="shared" si="19"/>
        <v>200</v>
      </c>
      <c r="T81">
        <v>336.62967381019149</v>
      </c>
      <c r="U81">
        <f t="shared" si="26"/>
        <v>538.74981257468403</v>
      </c>
      <c r="V81">
        <f t="shared" si="20"/>
        <v>0.1801790724763935</v>
      </c>
      <c r="W81">
        <f t="shared" si="27"/>
        <v>0.18185525626896148</v>
      </c>
    </row>
    <row r="82" spans="1:23">
      <c r="A82" s="2">
        <v>79</v>
      </c>
      <c r="B82" s="2">
        <v>71.583333300000007</v>
      </c>
      <c r="C82">
        <f t="shared" si="14"/>
        <v>0.79733843098650548</v>
      </c>
      <c r="D82" s="21">
        <v>3.7209310443826402E-2</v>
      </c>
      <c r="E82">
        <f t="shared" si="15"/>
        <v>6.626352750865909E-2</v>
      </c>
      <c r="F82" s="22">
        <f t="shared" si="21"/>
        <v>3.7209310443826402E-2</v>
      </c>
      <c r="G82">
        <f t="shared" si="22"/>
        <v>6.4115799440059962E-2</v>
      </c>
      <c r="H82" s="21">
        <v>0.35366500150500502</v>
      </c>
      <c r="I82">
        <f t="shared" si="16"/>
        <v>1.8748242353946586E-2</v>
      </c>
      <c r="J82" s="22">
        <f t="shared" si="23"/>
        <v>0.35366500150500502</v>
      </c>
      <c r="K82">
        <f t="shared" si="24"/>
        <v>1.8573587253477797E-2</v>
      </c>
      <c r="L82">
        <v>1.4847312091894604E-3</v>
      </c>
      <c r="M82">
        <f t="shared" si="17"/>
        <v>1.8573587253477797E-2</v>
      </c>
      <c r="N82">
        <f t="shared" si="25"/>
        <v>0.35366500150500502</v>
      </c>
      <c r="O82">
        <v>3.7209310443826402E-2</v>
      </c>
      <c r="P82">
        <v>0.3164556910611786</v>
      </c>
      <c r="Q82">
        <v>0.64633499849499498</v>
      </c>
      <c r="R82">
        <f t="shared" si="18"/>
        <v>1</v>
      </c>
      <c r="S82">
        <f t="shared" si="19"/>
        <v>200</v>
      </c>
      <c r="T82">
        <v>332.27847561423755</v>
      </c>
      <c r="U82">
        <f t="shared" si="26"/>
        <v>534.45407471221449</v>
      </c>
      <c r="V82">
        <f t="shared" si="20"/>
        <v>0.17683250075250251</v>
      </c>
      <c r="W82">
        <f t="shared" si="27"/>
        <v>0.17850578661444799</v>
      </c>
    </row>
    <row r="83" spans="1:23">
      <c r="A83" s="2">
        <v>80</v>
      </c>
      <c r="B83" s="2">
        <v>71.666666699999993</v>
      </c>
      <c r="C83">
        <f t="shared" si="14"/>
        <v>0.79505590600436338</v>
      </c>
      <c r="D83" s="21">
        <v>3.4776397701187303E-2</v>
      </c>
      <c r="E83">
        <f t="shared" si="15"/>
        <v>6.7620081009030969E-2</v>
      </c>
      <c r="F83" s="22">
        <f t="shared" si="21"/>
        <v>3.4776397701187303E-2</v>
      </c>
      <c r="G83">
        <f t="shared" si="22"/>
        <v>6.5384515692973766E-2</v>
      </c>
      <c r="H83" s="21">
        <v>0.34698722969766499</v>
      </c>
      <c r="I83">
        <f t="shared" si="16"/>
        <v>1.906216440925115E-2</v>
      </c>
      <c r="J83" s="22">
        <f t="shared" si="23"/>
        <v>0.34698722969766499</v>
      </c>
      <c r="K83">
        <f t="shared" si="24"/>
        <v>1.8881630296815E-2</v>
      </c>
      <c r="L83">
        <v>1.4847312091894604E-3</v>
      </c>
      <c r="M83">
        <f t="shared" si="17"/>
        <v>1.8881630296815E-2</v>
      </c>
      <c r="N83">
        <f t="shared" si="25"/>
        <v>0.34698722969766499</v>
      </c>
      <c r="O83">
        <v>3.4776397701187303E-2</v>
      </c>
      <c r="P83">
        <v>0.3122108319964777</v>
      </c>
      <c r="Q83">
        <v>0.65301277030233496</v>
      </c>
      <c r="R83">
        <f t="shared" si="18"/>
        <v>1</v>
      </c>
      <c r="S83">
        <f t="shared" si="19"/>
        <v>200</v>
      </c>
      <c r="T83">
        <v>327.82137359630161</v>
      </c>
      <c r="U83">
        <f t="shared" si="26"/>
        <v>530.04992460526955</v>
      </c>
      <c r="V83">
        <f t="shared" si="20"/>
        <v>0.17349361484883249</v>
      </c>
      <c r="W83">
        <f t="shared" si="27"/>
        <v>0.17516305780066749</v>
      </c>
    </row>
    <row r="84" spans="1:23">
      <c r="A84" s="2">
        <v>81</v>
      </c>
      <c r="B84" s="2">
        <v>71.75</v>
      </c>
      <c r="C84">
        <f t="shared" si="14"/>
        <v>0.79277991516141666</v>
      </c>
      <c r="D84" s="21">
        <v>3.2458359660416103E-2</v>
      </c>
      <c r="E84">
        <f t="shared" si="15"/>
        <v>6.8980903076654151E-2</v>
      </c>
      <c r="F84" s="22">
        <f t="shared" si="21"/>
        <v>3.2458359660416103E-2</v>
      </c>
      <c r="G84">
        <f t="shared" si="22"/>
        <v>6.6655496083542265E-2</v>
      </c>
      <c r="H84" s="21">
        <v>0.34032853559222598</v>
      </c>
      <c r="I84">
        <f t="shared" si="16"/>
        <v>1.937654503092805E-2</v>
      </c>
      <c r="J84" s="22">
        <f t="shared" si="23"/>
        <v>0.34032853559222598</v>
      </c>
      <c r="K84">
        <f t="shared" si="24"/>
        <v>1.9190026420398354E-2</v>
      </c>
      <c r="L84">
        <v>1.4847312091894604E-3</v>
      </c>
      <c r="M84">
        <f t="shared" si="17"/>
        <v>1.9190026420398354E-2</v>
      </c>
      <c r="N84">
        <f t="shared" si="25"/>
        <v>0.34032853559222598</v>
      </c>
      <c r="O84">
        <v>3.2458359660416103E-2</v>
      </c>
      <c r="P84">
        <v>0.30787017593180988</v>
      </c>
      <c r="Q84">
        <v>0.65967146440777402</v>
      </c>
      <c r="R84">
        <f t="shared" si="18"/>
        <v>1</v>
      </c>
      <c r="S84">
        <f t="shared" si="19"/>
        <v>200</v>
      </c>
      <c r="T84">
        <v>323.26368472840039</v>
      </c>
      <c r="U84">
        <f t="shared" si="26"/>
        <v>525.542529162351</v>
      </c>
      <c r="V84">
        <f t="shared" si="20"/>
        <v>0.17016426779611299</v>
      </c>
      <c r="W84">
        <f t="shared" si="27"/>
        <v>0.17182894132247273</v>
      </c>
    </row>
    <row r="85" spans="1:23">
      <c r="A85" s="2">
        <v>82</v>
      </c>
      <c r="B85" s="2">
        <v>71.833333300000007</v>
      </c>
      <c r="C85">
        <f t="shared" si="14"/>
        <v>0.79051043975251467</v>
      </c>
      <c r="D85" s="21">
        <v>3.02535061564492E-2</v>
      </c>
      <c r="E85">
        <f t="shared" si="15"/>
        <v>7.0345942867845887E-2</v>
      </c>
      <c r="F85" s="22">
        <f t="shared" si="21"/>
        <v>3.02535061564492E-2</v>
      </c>
      <c r="G85">
        <f t="shared" si="22"/>
        <v>6.7928679299705474E-2</v>
      </c>
      <c r="H85" s="21">
        <v>0.33369254791803499</v>
      </c>
      <c r="I85">
        <f t="shared" si="16"/>
        <v>1.9691378387773181E-2</v>
      </c>
      <c r="J85" s="22">
        <f t="shared" si="23"/>
        <v>0.33369254791803499</v>
      </c>
      <c r="K85">
        <f t="shared" si="24"/>
        <v>1.9498769512945269E-2</v>
      </c>
      <c r="L85">
        <v>1.4847312091894604E-3</v>
      </c>
      <c r="M85">
        <f t="shared" si="17"/>
        <v>1.9498769512945269E-2</v>
      </c>
      <c r="N85">
        <f t="shared" si="25"/>
        <v>0.33369254791803499</v>
      </c>
      <c r="O85">
        <v>3.02535061564492E-2</v>
      </c>
      <c r="P85">
        <v>0.30343904176158576</v>
      </c>
      <c r="Q85">
        <v>0.66630745208196496</v>
      </c>
      <c r="R85">
        <f t="shared" si="18"/>
        <v>0.99999999999999989</v>
      </c>
      <c r="S85">
        <f t="shared" si="19"/>
        <v>200</v>
      </c>
      <c r="T85">
        <v>318.61099384966502</v>
      </c>
      <c r="U85">
        <f t="shared" si="26"/>
        <v>520.93733928903271</v>
      </c>
      <c r="V85">
        <f t="shared" si="20"/>
        <v>0.16684627395901747</v>
      </c>
      <c r="W85">
        <f t="shared" si="27"/>
        <v>0.16850527087756523</v>
      </c>
    </row>
    <row r="86" spans="1:23">
      <c r="A86" s="2">
        <v>83</v>
      </c>
      <c r="B86" s="2">
        <v>71.916666699999993</v>
      </c>
      <c r="C86">
        <f t="shared" si="14"/>
        <v>0.78824746112605237</v>
      </c>
      <c r="D86" s="21">
        <v>2.8159842350134599E-2</v>
      </c>
      <c r="E86">
        <f t="shared" si="15"/>
        <v>7.171515084611664E-2</v>
      </c>
      <c r="F86" s="22">
        <f t="shared" si="21"/>
        <v>2.8159842350134599E-2</v>
      </c>
      <c r="G86">
        <f t="shared" si="22"/>
        <v>6.9204005495683396E-2</v>
      </c>
      <c r="H86" s="21">
        <v>0.32708281477506501</v>
      </c>
      <c r="I86">
        <f t="shared" si="16"/>
        <v>2.0006658800750147E-2</v>
      </c>
      <c r="J86" s="22">
        <f t="shared" si="23"/>
        <v>0.32708281477506501</v>
      </c>
      <c r="K86">
        <f t="shared" si="24"/>
        <v>1.9807853619175031E-2</v>
      </c>
      <c r="L86">
        <v>1.4847312091894604E-3</v>
      </c>
      <c r="M86">
        <f t="shared" si="17"/>
        <v>1.9807853619175031E-2</v>
      </c>
      <c r="N86">
        <f t="shared" si="25"/>
        <v>0.32708281477506501</v>
      </c>
      <c r="O86">
        <v>2.8159842350134599E-2</v>
      </c>
      <c r="P86">
        <v>0.29892297242493043</v>
      </c>
      <c r="Q86">
        <v>0.67291718522493493</v>
      </c>
      <c r="R86">
        <f t="shared" si="18"/>
        <v>1</v>
      </c>
      <c r="S86">
        <f t="shared" si="19"/>
        <v>200</v>
      </c>
      <c r="T86">
        <v>313.86912104617693</v>
      </c>
      <c r="U86">
        <f t="shared" si="26"/>
        <v>516.240057447921</v>
      </c>
      <c r="V86">
        <f t="shared" si="20"/>
        <v>0.16354140738753251</v>
      </c>
      <c r="W86">
        <f t="shared" si="27"/>
        <v>0.16519384067327497</v>
      </c>
    </row>
    <row r="87" spans="1:23">
      <c r="A87" s="2">
        <v>84</v>
      </c>
      <c r="B87" s="2">
        <v>72</v>
      </c>
      <c r="C87">
        <f t="shared" si="14"/>
        <v>0.78599096068381946</v>
      </c>
      <c r="D87" s="21">
        <v>2.6175096780258599E-2</v>
      </c>
      <c r="E87">
        <f t="shared" si="15"/>
        <v>7.308847873162512E-2</v>
      </c>
      <c r="F87" s="22">
        <f t="shared" si="21"/>
        <v>2.6175096780258599E-2</v>
      </c>
      <c r="G87">
        <f t="shared" si="22"/>
        <v>7.0481416237989425E-2</v>
      </c>
      <c r="H87" s="21">
        <v>0.32050280051826902</v>
      </c>
      <c r="I87">
        <f t="shared" si="16"/>
        <v>2.0322380737109756E-2</v>
      </c>
      <c r="J87" s="22">
        <f t="shared" si="23"/>
        <v>0.32050280051826902</v>
      </c>
      <c r="K87">
        <f t="shared" si="24"/>
        <v>2.0117272933832031E-2</v>
      </c>
      <c r="L87">
        <v>1.643313239494959E-3</v>
      </c>
      <c r="M87">
        <f t="shared" si="17"/>
        <v>2.0117272933832031E-2</v>
      </c>
      <c r="N87">
        <f t="shared" si="25"/>
        <v>0.32050280051826902</v>
      </c>
      <c r="O87">
        <v>2.6175096780258599E-2</v>
      </c>
      <c r="P87">
        <v>0.29432770373801043</v>
      </c>
      <c r="Q87">
        <v>0.67949719948173093</v>
      </c>
      <c r="R87">
        <f t="shared" si="18"/>
        <v>1</v>
      </c>
      <c r="S87">
        <f t="shared" si="19"/>
        <v>200</v>
      </c>
      <c r="T87">
        <v>309.04408892491097</v>
      </c>
      <c r="U87">
        <f t="shared" si="26"/>
        <v>511.45660498554395</v>
      </c>
      <c r="V87">
        <f t="shared" si="20"/>
        <v>0.16025140025913451</v>
      </c>
      <c r="W87">
        <f t="shared" si="27"/>
        <v>0.16189640382333351</v>
      </c>
    </row>
    <row r="88" spans="1:23">
      <c r="A88" s="2">
        <v>85</v>
      </c>
      <c r="B88" s="2">
        <v>72.083333300000007</v>
      </c>
      <c r="C88">
        <f t="shared" si="14"/>
        <v>0.7837409198808456</v>
      </c>
      <c r="D88" s="21">
        <v>2.4296749469887802E-2</v>
      </c>
      <c r="E88">
        <f t="shared" si="15"/>
        <v>7.4465879453188361E-2</v>
      </c>
      <c r="F88" s="22">
        <f t="shared" si="21"/>
        <v>2.4296749469887802E-2</v>
      </c>
      <c r="G88">
        <f t="shared" si="22"/>
        <v>7.1760854454125944E-2</v>
      </c>
      <c r="H88" s="21">
        <v>0.31395588282641701</v>
      </c>
      <c r="I88">
        <f t="shared" si="16"/>
        <v>2.0638538804752925E-2</v>
      </c>
      <c r="J88" s="22">
        <f t="shared" si="23"/>
        <v>0.31395588282641701</v>
      </c>
      <c r="K88">
        <f t="shared" si="24"/>
        <v>2.0427021795957234E-2</v>
      </c>
      <c r="L88">
        <v>1.643313239494959E-3</v>
      </c>
      <c r="M88">
        <f t="shared" si="17"/>
        <v>2.0427021795957234E-2</v>
      </c>
      <c r="N88">
        <f t="shared" si="25"/>
        <v>0.31395588282641701</v>
      </c>
      <c r="O88">
        <v>2.4296749469887802E-2</v>
      </c>
      <c r="P88">
        <v>0.28965913335652921</v>
      </c>
      <c r="Q88">
        <v>0.68604411717358293</v>
      </c>
      <c r="R88">
        <f t="shared" si="18"/>
        <v>1</v>
      </c>
      <c r="S88">
        <f t="shared" si="19"/>
        <v>200</v>
      </c>
      <c r="T88">
        <v>304.1420900243557</v>
      </c>
      <c r="U88">
        <f t="shared" si="26"/>
        <v>506.5930894746333</v>
      </c>
      <c r="V88">
        <f t="shared" si="20"/>
        <v>0.1569779414132085</v>
      </c>
      <c r="W88">
        <f t="shared" si="27"/>
        <v>0.15861467083617151</v>
      </c>
    </row>
    <row r="89" spans="1:23">
      <c r="A89" s="2">
        <v>86</v>
      </c>
      <c r="B89" s="2">
        <v>72.166666699999993</v>
      </c>
      <c r="C89">
        <f t="shared" si="14"/>
        <v>0.78149732022524909</v>
      </c>
      <c r="D89" s="21">
        <v>2.25220598714404E-2</v>
      </c>
      <c r="E89">
        <f t="shared" si="15"/>
        <v>7.5847307102731798E-2</v>
      </c>
      <c r="F89" s="22">
        <f t="shared" si="21"/>
        <v>2.25220598714404E-2</v>
      </c>
      <c r="G89">
        <f t="shared" si="22"/>
        <v>7.3042264383837208E-2</v>
      </c>
      <c r="H89" s="21">
        <v>0.30744534995780398</v>
      </c>
      <c r="I89">
        <f t="shared" si="16"/>
        <v>2.0955127746930764E-2</v>
      </c>
      <c r="J89" s="22">
        <f t="shared" si="23"/>
        <v>0.30744534995780398</v>
      </c>
      <c r="K89">
        <f t="shared" si="24"/>
        <v>2.0737094683499269E-2</v>
      </c>
      <c r="L89">
        <v>1.643313239494959E-3</v>
      </c>
      <c r="M89">
        <f t="shared" si="17"/>
        <v>2.0737094683499269E-2</v>
      </c>
      <c r="N89">
        <f t="shared" si="25"/>
        <v>0.30744534995780398</v>
      </c>
      <c r="O89">
        <v>2.25220598714404E-2</v>
      </c>
      <c r="P89">
        <v>0.28492329008636358</v>
      </c>
      <c r="Q89">
        <v>0.69255465004219596</v>
      </c>
      <c r="R89">
        <f t="shared" si="18"/>
        <v>1</v>
      </c>
      <c r="S89">
        <f t="shared" si="19"/>
        <v>200</v>
      </c>
      <c r="T89">
        <v>299.16945459068177</v>
      </c>
      <c r="U89">
        <f t="shared" si="26"/>
        <v>501.65577230751876</v>
      </c>
      <c r="V89">
        <f t="shared" si="20"/>
        <v>0.15372267497890199</v>
      </c>
      <c r="W89">
        <f t="shared" si="27"/>
        <v>0.15535030819605525</v>
      </c>
    </row>
    <row r="90" spans="1:23">
      <c r="A90" s="2">
        <v>87</v>
      </c>
      <c r="B90" s="2">
        <v>72.25</v>
      </c>
      <c r="C90">
        <f t="shared" si="14"/>
        <v>0.77926014327808446</v>
      </c>
      <c r="D90" s="21">
        <v>2.0848094448960401E-2</v>
      </c>
      <c r="E90">
        <f t="shared" si="15"/>
        <v>7.7232716891975403E-2</v>
      </c>
      <c r="F90" s="22">
        <f t="shared" si="21"/>
        <v>2.0848094448960401E-2</v>
      </c>
      <c r="G90">
        <f t="shared" si="22"/>
        <v>7.4325591532713564E-2</v>
      </c>
      <c r="H90" s="21">
        <v>0.30097439819481098</v>
      </c>
      <c r="I90">
        <f t="shared" si="16"/>
        <v>2.1272142437152586E-2</v>
      </c>
      <c r="J90" s="22">
        <f t="shared" si="23"/>
        <v>0.30097439819481098</v>
      </c>
      <c r="K90">
        <f t="shared" si="24"/>
        <v>2.10474862081379E-2</v>
      </c>
      <c r="L90">
        <v>1.643313239494959E-3</v>
      </c>
      <c r="M90">
        <f t="shared" si="17"/>
        <v>2.10474862081379E-2</v>
      </c>
      <c r="N90">
        <f t="shared" si="25"/>
        <v>0.30097439819481098</v>
      </c>
      <c r="O90">
        <v>2.0848094448960401E-2</v>
      </c>
      <c r="P90">
        <v>0.28012630374585057</v>
      </c>
      <c r="Q90">
        <v>0.69902560180518902</v>
      </c>
      <c r="R90">
        <f t="shared" si="18"/>
        <v>1</v>
      </c>
      <c r="S90">
        <f t="shared" si="19"/>
        <v>200</v>
      </c>
      <c r="T90">
        <v>294.13261893314308</v>
      </c>
      <c r="U90">
        <f t="shared" si="26"/>
        <v>496.65103676191239</v>
      </c>
      <c r="V90">
        <f t="shared" si="20"/>
        <v>0.15048719909740549</v>
      </c>
      <c r="W90">
        <f t="shared" si="27"/>
        <v>0.15210493703815375</v>
      </c>
    </row>
    <row r="91" spans="1:23">
      <c r="A91" s="2">
        <v>88</v>
      </c>
      <c r="B91" s="2">
        <v>72.333333300000007</v>
      </c>
      <c r="C91">
        <f t="shared" si="14"/>
        <v>0.77702937065319144</v>
      </c>
      <c r="D91" s="21">
        <v>1.92717537113711E-2</v>
      </c>
      <c r="E91">
        <f t="shared" si="15"/>
        <v>7.8622065111262837E-2</v>
      </c>
      <c r="F91" s="22">
        <f t="shared" si="21"/>
        <v>1.92717537113711E-2</v>
      </c>
      <c r="G91">
        <f t="shared" si="22"/>
        <v>7.5610782628045214E-2</v>
      </c>
      <c r="H91" s="21">
        <v>0.29454612947883002</v>
      </c>
      <c r="I91">
        <f t="shared" si="16"/>
        <v>2.158957787437912E-2</v>
      </c>
      <c r="J91" s="22">
        <f t="shared" si="23"/>
        <v>0.29454612947883002</v>
      </c>
      <c r="K91">
        <f t="shared" si="24"/>
        <v>2.1358191110395164E-2</v>
      </c>
      <c r="L91">
        <v>1.643313239494959E-3</v>
      </c>
      <c r="M91">
        <f t="shared" si="17"/>
        <v>2.1358191110395164E-2</v>
      </c>
      <c r="N91">
        <f t="shared" si="25"/>
        <v>0.29454612947883002</v>
      </c>
      <c r="O91">
        <v>1.92717537113711E-2</v>
      </c>
      <c r="P91">
        <v>0.27527437576745895</v>
      </c>
      <c r="Q91">
        <v>0.70545387052116992</v>
      </c>
      <c r="R91">
        <f t="shared" si="18"/>
        <v>1</v>
      </c>
      <c r="S91">
        <f t="shared" si="19"/>
        <v>200</v>
      </c>
      <c r="T91">
        <v>289.03809455583189</v>
      </c>
      <c r="U91">
        <f t="shared" si="26"/>
        <v>491.58535674448751</v>
      </c>
      <c r="V91">
        <f t="shared" si="20"/>
        <v>0.14727306473941501</v>
      </c>
      <c r="W91">
        <f t="shared" si="27"/>
        <v>0.14888013191841026</v>
      </c>
    </row>
    <row r="92" spans="1:23">
      <c r="A92" s="2">
        <v>89</v>
      </c>
      <c r="B92" s="2">
        <v>72.416666699999993</v>
      </c>
      <c r="C92">
        <f t="shared" si="14"/>
        <v>0.77480498401704267</v>
      </c>
      <c r="D92" s="21">
        <v>1.7789798526785E-2</v>
      </c>
      <c r="E92">
        <f t="shared" si="15"/>
        <v>8.0015309090424758E-2</v>
      </c>
      <c r="F92" s="22">
        <f t="shared" si="21"/>
        <v>1.7789798526785E-2</v>
      </c>
      <c r="G92">
        <f t="shared" si="22"/>
        <v>7.6897785576809596E-2</v>
      </c>
      <c r="H92" s="21">
        <v>0.28816354923663701</v>
      </c>
      <c r="I92">
        <f t="shared" si="16"/>
        <v>2.1907429178454649E-2</v>
      </c>
      <c r="J92" s="22">
        <f t="shared" si="23"/>
        <v>0.28816354923663701</v>
      </c>
      <c r="K92">
        <f t="shared" si="24"/>
        <v>2.1669204254988306E-2</v>
      </c>
      <c r="L92">
        <v>1.643313239494959E-3</v>
      </c>
      <c r="M92">
        <f t="shared" si="17"/>
        <v>2.1669204254988306E-2</v>
      </c>
      <c r="N92">
        <f t="shared" si="25"/>
        <v>0.28816354923663701</v>
      </c>
      <c r="O92">
        <v>1.7789798526785E-2</v>
      </c>
      <c r="P92">
        <v>0.27037375070985203</v>
      </c>
      <c r="Q92">
        <v>0.71183645076336299</v>
      </c>
      <c r="R92">
        <f t="shared" si="18"/>
        <v>1</v>
      </c>
      <c r="S92">
        <f t="shared" si="19"/>
        <v>200</v>
      </c>
      <c r="T92">
        <v>283.89243824534464</v>
      </c>
      <c r="U92">
        <f t="shared" si="26"/>
        <v>486.46526640058829</v>
      </c>
      <c r="V92">
        <f t="shared" si="20"/>
        <v>0.1440817746183185</v>
      </c>
      <c r="W92">
        <f t="shared" si="27"/>
        <v>0.14567741967886677</v>
      </c>
    </row>
    <row r="93" spans="1:23">
      <c r="A93" s="2">
        <v>90</v>
      </c>
      <c r="B93" s="2">
        <v>72.5</v>
      </c>
      <c r="C93">
        <f t="shared" si="14"/>
        <v>0.77258696508859459</v>
      </c>
      <c r="D93" s="21">
        <v>1.63988755649992E-2</v>
      </c>
      <c r="E93">
        <f t="shared" si="15"/>
        <v>8.1412407161474451E-2</v>
      </c>
      <c r="F93" s="22">
        <f t="shared" si="21"/>
        <v>1.63988755649992E-2</v>
      </c>
      <c r="G93">
        <f t="shared" si="22"/>
        <v>7.8186549425592E-2</v>
      </c>
      <c r="H93" s="21">
        <v>0.28182956439886597</v>
      </c>
      <c r="I93">
        <f t="shared" si="16"/>
        <v>2.2225691585748136E-2</v>
      </c>
      <c r="J93" s="22">
        <f t="shared" si="23"/>
        <v>0.28182956439886597</v>
      </c>
      <c r="K93">
        <f t="shared" si="24"/>
        <v>2.1980520626394773E-2</v>
      </c>
      <c r="L93">
        <v>1.643313239494959E-3</v>
      </c>
      <c r="M93">
        <f t="shared" si="17"/>
        <v>2.1980520626394773E-2</v>
      </c>
      <c r="N93">
        <f t="shared" si="25"/>
        <v>0.28182956439886597</v>
      </c>
      <c r="O93">
        <v>1.63988755649992E-2</v>
      </c>
      <c r="P93">
        <v>0.26543068883386678</v>
      </c>
      <c r="Q93">
        <v>0.71817043560113403</v>
      </c>
      <c r="R93">
        <f t="shared" si="18"/>
        <v>1</v>
      </c>
      <c r="S93">
        <f t="shared" si="19"/>
        <v>200</v>
      </c>
      <c r="T93">
        <v>278.70222327556013</v>
      </c>
      <c r="U93">
        <f t="shared" si="26"/>
        <v>481.29733076045238</v>
      </c>
      <c r="V93">
        <f t="shared" si="20"/>
        <v>0.14091478219943299</v>
      </c>
      <c r="W93">
        <f t="shared" si="27"/>
        <v>0.14249827840887574</v>
      </c>
    </row>
    <row r="94" spans="1:23">
      <c r="A94" s="2">
        <v>91</v>
      </c>
      <c r="B94" s="2">
        <v>72.583333300000007</v>
      </c>
      <c r="C94">
        <f t="shared" si="14"/>
        <v>0.77037529563913598</v>
      </c>
      <c r="D94" s="21">
        <v>1.50955417328607E-2</v>
      </c>
      <c r="E94">
        <f t="shared" si="15"/>
        <v>8.2813318623044266E-2</v>
      </c>
      <c r="F94" s="22">
        <f t="shared" si="21"/>
        <v>1.50955417328607E-2</v>
      </c>
      <c r="G94">
        <f t="shared" si="22"/>
        <v>7.9477024322341938E-2</v>
      </c>
      <c r="H94" s="21">
        <v>0.27554698161081498</v>
      </c>
      <c r="I94">
        <f t="shared" si="16"/>
        <v>2.2544360444967951E-2</v>
      </c>
      <c r="J94" s="22">
        <f t="shared" si="23"/>
        <v>0.27554698161081498</v>
      </c>
      <c r="K94">
        <f t="shared" si="24"/>
        <v>2.2292135324594287E-2</v>
      </c>
      <c r="L94">
        <v>1.643313239494959E-3</v>
      </c>
      <c r="M94">
        <f t="shared" si="17"/>
        <v>2.2292135324594287E-2</v>
      </c>
      <c r="N94">
        <f t="shared" si="25"/>
        <v>0.27554698161081498</v>
      </c>
      <c r="O94">
        <v>1.50955417328607E-2</v>
      </c>
      <c r="P94">
        <v>0.26045143987795427</v>
      </c>
      <c r="Q94">
        <v>0.72445301838918508</v>
      </c>
      <c r="R94">
        <f t="shared" si="18"/>
        <v>1</v>
      </c>
      <c r="S94">
        <f t="shared" si="19"/>
        <v>200</v>
      </c>
      <c r="T94">
        <v>273.47401187185199</v>
      </c>
      <c r="U94">
        <f t="shared" si="26"/>
        <v>476.08811757370609</v>
      </c>
      <c r="V94">
        <f t="shared" si="20"/>
        <v>0.13777349080540749</v>
      </c>
      <c r="W94">
        <f t="shared" si="27"/>
        <v>0.13934413650242022</v>
      </c>
    </row>
    <row r="95" spans="1:23">
      <c r="A95" s="2">
        <v>92</v>
      </c>
      <c r="B95" s="2">
        <v>72.666666699999993</v>
      </c>
      <c r="C95">
        <f t="shared" si="14"/>
        <v>0.76816995749213846</v>
      </c>
      <c r="D95" s="21">
        <v>1.3876287485010901E-2</v>
      </c>
      <c r="E95">
        <f t="shared" si="15"/>
        <v>8.4218003706635194E-2</v>
      </c>
      <c r="F95" s="22">
        <f t="shared" si="21"/>
        <v>1.3876287485010901E-2</v>
      </c>
      <c r="G95">
        <f t="shared" si="22"/>
        <v>8.0769161480019447E-2</v>
      </c>
      <c r="H95" s="21">
        <v>0.26931850563535598</v>
      </c>
      <c r="I95">
        <f t="shared" si="16"/>
        <v>2.2863431213259632E-2</v>
      </c>
      <c r="J95" s="22">
        <f t="shared" si="23"/>
        <v>0.26931850563535598</v>
      </c>
      <c r="K95">
        <f t="shared" si="24"/>
        <v>2.2604043561094578E-2</v>
      </c>
      <c r="L95">
        <v>1.643313239494959E-3</v>
      </c>
      <c r="M95">
        <f t="shared" si="17"/>
        <v>2.2604043561094578E-2</v>
      </c>
      <c r="N95">
        <f t="shared" si="25"/>
        <v>0.26931850563535598</v>
      </c>
      <c r="O95">
        <v>1.3876287485010901E-2</v>
      </c>
      <c r="P95">
        <v>0.25544221815034507</v>
      </c>
      <c r="Q95">
        <v>0.73068149436464402</v>
      </c>
      <c r="R95">
        <f t="shared" si="18"/>
        <v>1</v>
      </c>
      <c r="S95">
        <f t="shared" si="19"/>
        <v>200</v>
      </c>
      <c r="T95">
        <v>268.2143290578623</v>
      </c>
      <c r="U95">
        <f t="shared" si="26"/>
        <v>470.84417046485714</v>
      </c>
      <c r="V95">
        <f t="shared" si="20"/>
        <v>0.13465925281767799</v>
      </c>
      <c r="W95">
        <f t="shared" si="27"/>
        <v>0.13621637181154272</v>
      </c>
    </row>
    <row r="96" spans="1:23">
      <c r="A96" s="2">
        <v>93</v>
      </c>
      <c r="B96" s="2">
        <v>72.75</v>
      </c>
      <c r="C96">
        <f t="shared" si="14"/>
        <v>0.76597093252310822</v>
      </c>
      <c r="D96" s="21">
        <v>1.2737558910399301E-2</v>
      </c>
      <c r="E96">
        <f t="shared" si="15"/>
        <v>8.5626423544215957E-2</v>
      </c>
      <c r="F96" s="22">
        <f t="shared" si="21"/>
        <v>1.2737558910399301E-2</v>
      </c>
      <c r="G96">
        <f t="shared" si="22"/>
        <v>8.2062913141692229E-2</v>
      </c>
      <c r="H96" s="21">
        <v>0.26314673794736398</v>
      </c>
      <c r="I96">
        <f t="shared" si="16"/>
        <v>2.3182899452368143E-2</v>
      </c>
      <c r="J96" s="22">
        <f t="shared" si="23"/>
        <v>0.26314673794736398</v>
      </c>
      <c r="K96">
        <f t="shared" si="24"/>
        <v>2.2916240655026732E-2</v>
      </c>
      <c r="L96">
        <v>1.643313239494959E-3</v>
      </c>
      <c r="M96">
        <f t="shared" si="17"/>
        <v>2.2916240655026732E-2</v>
      </c>
      <c r="N96">
        <f t="shared" si="25"/>
        <v>0.26314673794736398</v>
      </c>
      <c r="O96">
        <v>1.2737558910399301E-2</v>
      </c>
      <c r="P96">
        <v>0.25040917903696469</v>
      </c>
      <c r="Q96">
        <v>0.73685326205263602</v>
      </c>
      <c r="R96">
        <f t="shared" si="18"/>
        <v>1</v>
      </c>
      <c r="S96">
        <f t="shared" si="19"/>
        <v>200</v>
      </c>
      <c r="T96">
        <v>262.92963798881294</v>
      </c>
      <c r="U96">
        <f t="shared" si="26"/>
        <v>465.57198352333762</v>
      </c>
      <c r="V96">
        <f t="shared" si="20"/>
        <v>0.13157336897368199</v>
      </c>
      <c r="W96">
        <f t="shared" si="27"/>
        <v>0.13311631089567999</v>
      </c>
    </row>
    <row r="97" spans="1:23">
      <c r="A97" s="2">
        <v>94</v>
      </c>
      <c r="B97" s="2">
        <v>72.833333300000007</v>
      </c>
      <c r="C97">
        <f t="shared" si="14"/>
        <v>0.76377820265943441</v>
      </c>
      <c r="D97" s="21">
        <v>1.16757785126605E-2</v>
      </c>
      <c r="E97">
        <f t="shared" si="15"/>
        <v>8.7038540137486145E-2</v>
      </c>
      <c r="F97" s="22">
        <f t="shared" si="21"/>
        <v>1.16757785126605E-2</v>
      </c>
      <c r="G97">
        <f t="shared" si="22"/>
        <v>8.3358232547362965E-2</v>
      </c>
      <c r="H97" s="21">
        <v>0.25703417551860203</v>
      </c>
      <c r="I97">
        <f t="shared" si="16"/>
        <v>2.3502760825109593E-2</v>
      </c>
      <c r="J97" s="22">
        <f t="shared" si="23"/>
        <v>0.25703417551860203</v>
      </c>
      <c r="K97">
        <f t="shared" si="24"/>
        <v>2.3228722029549287E-2</v>
      </c>
      <c r="L97">
        <v>1.643313239494959E-3</v>
      </c>
      <c r="M97">
        <f t="shared" si="17"/>
        <v>2.3228722029549287E-2</v>
      </c>
      <c r="N97">
        <f t="shared" si="25"/>
        <v>0.25703417551860203</v>
      </c>
      <c r="O97">
        <v>1.16757785126605E-2</v>
      </c>
      <c r="P97">
        <v>0.24535839700594153</v>
      </c>
      <c r="Q97">
        <v>0.74296582448139792</v>
      </c>
      <c r="R97">
        <f t="shared" si="18"/>
        <v>1</v>
      </c>
      <c r="S97">
        <f t="shared" si="19"/>
        <v>200</v>
      </c>
      <c r="T97">
        <v>257.62631685623859</v>
      </c>
      <c r="U97">
        <f t="shared" si="26"/>
        <v>460.27797742252579</v>
      </c>
      <c r="V97">
        <f t="shared" si="20"/>
        <v>0.12851708775930101</v>
      </c>
      <c r="W97">
        <f t="shared" si="27"/>
        <v>0.13004522836649152</v>
      </c>
    </row>
    <row r="98" spans="1:23">
      <c r="A98" s="2">
        <v>95</v>
      </c>
      <c r="B98" s="2">
        <v>72.916666699999993</v>
      </c>
      <c r="C98">
        <f t="shared" si="14"/>
        <v>0.76159174988024392</v>
      </c>
      <c r="D98" s="21">
        <v>1.0687364619805399E-2</v>
      </c>
      <c r="E98">
        <f t="shared" si="15"/>
        <v>8.8454316328470395E-2</v>
      </c>
      <c r="F98" s="22">
        <f t="shared" si="21"/>
        <v>1.0687364619805399E-2</v>
      </c>
      <c r="G98">
        <f t="shared" si="22"/>
        <v>8.4655073902209166E-2</v>
      </c>
      <c r="H98" s="21">
        <v>0.25098320979167599</v>
      </c>
      <c r="I98">
        <f t="shared" si="16"/>
        <v>2.3823011091868237E-2</v>
      </c>
      <c r="J98" s="22">
        <f t="shared" si="23"/>
        <v>0.25098320979167599</v>
      </c>
      <c r="K98">
        <f t="shared" si="24"/>
        <v>2.3541483208282976E-2</v>
      </c>
      <c r="L98">
        <v>1.643313239494959E-3</v>
      </c>
      <c r="M98">
        <f t="shared" si="17"/>
        <v>2.3541483208282976E-2</v>
      </c>
      <c r="N98">
        <f t="shared" si="25"/>
        <v>0.25098320979167599</v>
      </c>
      <c r="O98">
        <v>1.0687364619805399E-2</v>
      </c>
      <c r="P98">
        <v>0.24029584517187058</v>
      </c>
      <c r="Q98">
        <v>0.74901679020832401</v>
      </c>
      <c r="R98">
        <f t="shared" si="18"/>
        <v>1</v>
      </c>
      <c r="S98">
        <f t="shared" si="19"/>
        <v>200</v>
      </c>
      <c r="T98">
        <v>252.31063743046411</v>
      </c>
      <c r="U98">
        <f t="shared" si="26"/>
        <v>454.96847714335138</v>
      </c>
      <c r="V98">
        <f t="shared" si="20"/>
        <v>0.12549160489583799</v>
      </c>
      <c r="W98">
        <f t="shared" si="27"/>
        <v>0.12700434632756952</v>
      </c>
    </row>
    <row r="99" spans="1:23">
      <c r="A99" s="2">
        <v>96</v>
      </c>
      <c r="B99" s="2">
        <v>73</v>
      </c>
      <c r="C99">
        <f t="shared" si="14"/>
        <v>0.75941155621625067</v>
      </c>
      <c r="D99" s="21">
        <v>9.7687493754929199E-3</v>
      </c>
      <c r="E99">
        <f t="shared" si="15"/>
        <v>8.987371577135847E-2</v>
      </c>
      <c r="F99" s="22">
        <f t="shared" si="21"/>
        <v>9.7687493754929199E-3</v>
      </c>
      <c r="G99">
        <f t="shared" si="22"/>
        <v>8.5953392346148516E-2</v>
      </c>
      <c r="H99" s="21">
        <v>0.24499612584122199</v>
      </c>
      <c r="I99">
        <f t="shared" si="16"/>
        <v>2.4143646107344572E-2</v>
      </c>
      <c r="J99" s="22">
        <f t="shared" si="23"/>
        <v>0.24499612584122199</v>
      </c>
      <c r="K99">
        <f t="shared" si="24"/>
        <v>2.3854519811996489E-2</v>
      </c>
      <c r="L99">
        <v>1.7860236457136747E-3</v>
      </c>
      <c r="M99">
        <f t="shared" si="17"/>
        <v>2.3854519811996489E-2</v>
      </c>
      <c r="N99">
        <f t="shared" si="25"/>
        <v>0.24499612584122199</v>
      </c>
      <c r="O99">
        <v>9.7687493754929199E-3</v>
      </c>
      <c r="P99">
        <v>0.23522737646572908</v>
      </c>
      <c r="Q99">
        <v>0.75500387415877801</v>
      </c>
      <c r="R99">
        <f t="shared" si="18"/>
        <v>1</v>
      </c>
      <c r="S99">
        <f t="shared" si="19"/>
        <v>200</v>
      </c>
      <c r="T99">
        <v>246.98874528901553</v>
      </c>
      <c r="U99">
        <f t="shared" si="26"/>
        <v>449.64969135973979</v>
      </c>
      <c r="V99">
        <f t="shared" si="20"/>
        <v>0.12249806292061099</v>
      </c>
      <c r="W99">
        <f t="shared" si="27"/>
        <v>0.12399483390822449</v>
      </c>
    </row>
    <row r="100" spans="1:23">
      <c r="A100" s="2">
        <v>97</v>
      </c>
      <c r="B100" s="2">
        <v>73.083333300000007</v>
      </c>
      <c r="C100">
        <f t="shared" si="14"/>
        <v>0.75723760374960936</v>
      </c>
      <c r="D100" s="21">
        <v>8.9163952802674001E-3</v>
      </c>
      <c r="E100">
        <f t="shared" si="15"/>
        <v>9.1296702905715899E-2</v>
      </c>
      <c r="F100" s="22">
        <f t="shared" si="21"/>
        <v>8.9163952802674001E-3</v>
      </c>
      <c r="G100">
        <f t="shared" si="22"/>
        <v>8.7253143924834409E-2</v>
      </c>
      <c r="H100" s="21">
        <v>0.23907510172014501</v>
      </c>
      <c r="I100">
        <f t="shared" si="16"/>
        <v>2.4464661817430167E-2</v>
      </c>
      <c r="J100" s="22">
        <f t="shared" si="23"/>
        <v>0.23907510172014501</v>
      </c>
      <c r="K100">
        <f t="shared" si="24"/>
        <v>2.4167827555421462E-2</v>
      </c>
      <c r="L100">
        <v>1.7860236457136747E-3</v>
      </c>
      <c r="M100">
        <f t="shared" si="17"/>
        <v>2.4167827555421462E-2</v>
      </c>
      <c r="N100">
        <f t="shared" si="25"/>
        <v>0.23907510172014501</v>
      </c>
      <c r="O100">
        <v>8.9163952802674001E-3</v>
      </c>
      <c r="P100">
        <v>0.23015870643987763</v>
      </c>
      <c r="Q100">
        <v>0.76092489827985499</v>
      </c>
      <c r="R100">
        <f t="shared" si="18"/>
        <v>1</v>
      </c>
      <c r="S100">
        <f t="shared" si="19"/>
        <v>200</v>
      </c>
      <c r="T100">
        <v>241.66664176187152</v>
      </c>
      <c r="U100">
        <f t="shared" si="26"/>
        <v>444.32769352544346</v>
      </c>
      <c r="V100">
        <f t="shared" si="20"/>
        <v>0.11953755086007251</v>
      </c>
      <c r="W100">
        <f t="shared" si="27"/>
        <v>0.12101780689034175</v>
      </c>
    </row>
    <row r="101" spans="1:23">
      <c r="A101" s="2">
        <v>98</v>
      </c>
      <c r="B101" s="2">
        <v>73.166666699999993</v>
      </c>
      <c r="C101">
        <f t="shared" si="14"/>
        <v>0.7550698746137674</v>
      </c>
      <c r="D101" s="21">
        <v>8.1268102664364805E-3</v>
      </c>
      <c r="E101">
        <f t="shared" si="15"/>
        <v>9.2723242930796104E-2</v>
      </c>
      <c r="F101" s="22">
        <f t="shared" si="21"/>
        <v>8.1268102664364805E-3</v>
      </c>
      <c r="G101">
        <f t="shared" si="22"/>
        <v>8.8554285561826318E-2</v>
      </c>
      <c r="H101" s="21">
        <v>0.23322220798836801</v>
      </c>
      <c r="I101">
        <f t="shared" si="16"/>
        <v>2.4786054256183427E-2</v>
      </c>
      <c r="J101" s="22">
        <f t="shared" si="23"/>
        <v>0.23322220798836801</v>
      </c>
      <c r="K101">
        <f t="shared" si="24"/>
        <v>2.4481402244171169E-2</v>
      </c>
      <c r="L101">
        <v>1.7860236457136747E-3</v>
      </c>
      <c r="M101">
        <f t="shared" si="17"/>
        <v>2.4481402244171169E-2</v>
      </c>
      <c r="N101">
        <f t="shared" si="25"/>
        <v>0.23322220798836801</v>
      </c>
      <c r="O101">
        <v>8.1268102664364805E-3</v>
      </c>
      <c r="P101">
        <v>0.22509539772193154</v>
      </c>
      <c r="Q101">
        <v>0.76677779201163199</v>
      </c>
      <c r="R101">
        <f t="shared" si="18"/>
        <v>1</v>
      </c>
      <c r="S101">
        <f t="shared" si="19"/>
        <v>200</v>
      </c>
      <c r="T101">
        <v>236.35016760802813</v>
      </c>
      <c r="U101">
        <f t="shared" si="26"/>
        <v>439.00840468494982</v>
      </c>
      <c r="V101">
        <f t="shared" si="20"/>
        <v>0.11661110399418401</v>
      </c>
      <c r="W101">
        <f t="shared" si="27"/>
        <v>0.11807432742712826</v>
      </c>
    </row>
    <row r="102" spans="1:23">
      <c r="A102" s="2">
        <v>99</v>
      </c>
      <c r="B102" s="2">
        <v>73.25</v>
      </c>
      <c r="C102">
        <f t="shared" si="14"/>
        <v>0.75290835099331843</v>
      </c>
      <c r="D102" s="21">
        <v>7.39656130459813E-3</v>
      </c>
      <c r="E102">
        <f t="shared" si="15"/>
        <v>9.4153301780955934E-2</v>
      </c>
      <c r="F102" s="22">
        <f t="shared" si="21"/>
        <v>7.39656130459813E-3</v>
      </c>
      <c r="G102">
        <f t="shared" si="22"/>
        <v>8.9856775031928571E-2</v>
      </c>
      <c r="H102" s="21">
        <v>0.22743940742118199</v>
      </c>
      <c r="I102">
        <f t="shared" si="16"/>
        <v>2.5107819542970009E-2</v>
      </c>
      <c r="J102" s="22">
        <f t="shared" si="23"/>
        <v>0.22743940742118199</v>
      </c>
      <c r="K102">
        <f t="shared" si="24"/>
        <v>2.4795239771824962E-2</v>
      </c>
      <c r="L102">
        <v>1.7860236457136747E-3</v>
      </c>
      <c r="M102">
        <f t="shared" si="17"/>
        <v>2.4795239771824962E-2</v>
      </c>
      <c r="N102">
        <f t="shared" si="25"/>
        <v>0.22743940742118199</v>
      </c>
      <c r="O102">
        <v>7.39656130459813E-3</v>
      </c>
      <c r="P102">
        <v>0.22004284611658387</v>
      </c>
      <c r="Q102">
        <v>0.77256059257881804</v>
      </c>
      <c r="R102">
        <f t="shared" si="18"/>
        <v>1</v>
      </c>
      <c r="S102">
        <f t="shared" si="19"/>
        <v>200</v>
      </c>
      <c r="T102">
        <v>231.04498842241307</v>
      </c>
      <c r="U102">
        <f t="shared" si="26"/>
        <v>433.69757801522064</v>
      </c>
      <c r="V102">
        <f t="shared" si="20"/>
        <v>0.11371970371059099</v>
      </c>
      <c r="W102">
        <f t="shared" si="27"/>
        <v>0.11516540385238749</v>
      </c>
    </row>
    <row r="103" spans="1:23">
      <c r="A103" s="2">
        <v>100</v>
      </c>
      <c r="B103" s="2">
        <v>73.333333300000007</v>
      </c>
      <c r="C103">
        <f t="shared" si="14"/>
        <v>0.75075301512385662</v>
      </c>
      <c r="D103" s="21">
        <v>6.7222865531101498E-3</v>
      </c>
      <c r="E103">
        <f t="shared" si="15"/>
        <v>9.5586846102172149E-2</v>
      </c>
      <c r="F103" s="22">
        <f t="shared" si="21"/>
        <v>6.7222865531101498E-3</v>
      </c>
      <c r="G103">
        <f t="shared" si="22"/>
        <v>9.1160570935687635E-2</v>
      </c>
      <c r="H103" s="21">
        <v>0.22172855489396401</v>
      </c>
      <c r="I103">
        <f t="shared" si="16"/>
        <v>2.5429953879712482E-2</v>
      </c>
      <c r="J103" s="22">
        <f t="shared" si="23"/>
        <v>0.22172855489396401</v>
      </c>
      <c r="K103">
        <f t="shared" si="24"/>
        <v>2.510933611712407E-2</v>
      </c>
      <c r="L103">
        <v>1.7860236457136747E-3</v>
      </c>
      <c r="M103">
        <f t="shared" si="17"/>
        <v>2.510933611712407E-2</v>
      </c>
      <c r="N103">
        <f t="shared" si="25"/>
        <v>0.22172855489396401</v>
      </c>
      <c r="O103">
        <v>6.7222865531101498E-3</v>
      </c>
      <c r="P103">
        <v>0.21500626834085385</v>
      </c>
      <c r="Q103">
        <v>0.77827144510603596</v>
      </c>
      <c r="R103">
        <f t="shared" si="18"/>
        <v>1</v>
      </c>
      <c r="S103">
        <f t="shared" si="19"/>
        <v>200</v>
      </c>
      <c r="T103">
        <v>225.75658175789653</v>
      </c>
      <c r="U103">
        <f t="shared" si="26"/>
        <v>428.40078509015484</v>
      </c>
      <c r="V103">
        <f t="shared" si="20"/>
        <v>0.110864277446982</v>
      </c>
      <c r="W103">
        <f t="shared" si="27"/>
        <v>0.1122919905787865</v>
      </c>
    </row>
    <row r="104" spans="1:23">
      <c r="A104" s="2">
        <v>101</v>
      </c>
      <c r="B104" s="2">
        <v>73.416666699999993</v>
      </c>
      <c r="C104">
        <f t="shared" si="14"/>
        <v>0.74860384929182877</v>
      </c>
      <c r="D104" s="21">
        <v>6.1007060739548501E-3</v>
      </c>
      <c r="E104">
        <f t="shared" si="15"/>
        <v>9.7023843229504803E-2</v>
      </c>
      <c r="F104" s="22">
        <f t="shared" si="21"/>
        <v>6.1007060739548501E-3</v>
      </c>
      <c r="G104">
        <f t="shared" si="22"/>
        <v>9.2465632674899489E-2</v>
      </c>
      <c r="H104" s="21">
        <v>0.21609139743969599</v>
      </c>
      <c r="I104">
        <f t="shared" si="16"/>
        <v>2.5752453548297187E-2</v>
      </c>
      <c r="J104" s="22">
        <f t="shared" si="23"/>
        <v>0.21609139743969599</v>
      </c>
      <c r="K104">
        <f t="shared" si="24"/>
        <v>2.5423687341325274E-2</v>
      </c>
      <c r="L104">
        <v>1.7860236457136747E-3</v>
      </c>
      <c r="M104">
        <f t="shared" si="17"/>
        <v>2.5423687341325274E-2</v>
      </c>
      <c r="N104">
        <f t="shared" si="25"/>
        <v>0.21609139743969599</v>
      </c>
      <c r="O104">
        <v>6.1007060739548501E-3</v>
      </c>
      <c r="P104">
        <v>0.20999069136574114</v>
      </c>
      <c r="Q104">
        <v>0.78390860256030404</v>
      </c>
      <c r="R104">
        <f t="shared" si="18"/>
        <v>1</v>
      </c>
      <c r="S104">
        <f t="shared" si="19"/>
        <v>200</v>
      </c>
      <c r="T104">
        <v>220.49022593402819</v>
      </c>
      <c r="U104">
        <f t="shared" si="26"/>
        <v>423.12340384596234</v>
      </c>
      <c r="V104">
        <f t="shared" si="20"/>
        <v>0.108045698719848</v>
      </c>
      <c r="W104">
        <f t="shared" si="27"/>
        <v>0.109454988083415</v>
      </c>
    </row>
    <row r="105" spans="1:23">
      <c r="A105" s="2">
        <v>102</v>
      </c>
      <c r="B105" s="2">
        <v>73.5</v>
      </c>
      <c r="C105">
        <f t="shared" si="14"/>
        <v>0.74646083583439082</v>
      </c>
      <c r="D105" s="21">
        <v>5.5286311494262604E-3</v>
      </c>
      <c r="E105">
        <f t="shared" si="15"/>
        <v>9.8464261165551542E-2</v>
      </c>
      <c r="F105" s="22">
        <f t="shared" si="21"/>
        <v>5.5286311494262604E-3</v>
      </c>
      <c r="G105">
        <f t="shared" si="22"/>
        <v>9.3771920429160383E-2</v>
      </c>
      <c r="H105" s="21">
        <v>0.21052957447544601</v>
      </c>
      <c r="I105">
        <f t="shared" si="16"/>
        <v>2.6075314907976224E-2</v>
      </c>
      <c r="J105" s="22">
        <f t="shared" si="23"/>
        <v>0.21052957447544601</v>
      </c>
      <c r="K105">
        <f t="shared" si="24"/>
        <v>2.5738289585554242E-2</v>
      </c>
      <c r="L105">
        <v>1.7860236457136747E-3</v>
      </c>
      <c r="M105">
        <f t="shared" si="17"/>
        <v>2.5738289585554242E-2</v>
      </c>
      <c r="N105">
        <f t="shared" si="25"/>
        <v>0.21052957447544601</v>
      </c>
      <c r="O105">
        <v>5.5286311494262604E-3</v>
      </c>
      <c r="P105">
        <v>0.20500094332601976</v>
      </c>
      <c r="Q105">
        <v>0.78947042552455393</v>
      </c>
      <c r="R105">
        <f t="shared" si="18"/>
        <v>1</v>
      </c>
      <c r="S105">
        <f t="shared" si="19"/>
        <v>200</v>
      </c>
      <c r="T105">
        <v>215.25099049232074</v>
      </c>
      <c r="U105">
        <f t="shared" si="26"/>
        <v>417.87060821317448</v>
      </c>
      <c r="V105">
        <f t="shared" si="20"/>
        <v>0.10526478723772301</v>
      </c>
      <c r="W105">
        <f t="shared" si="27"/>
        <v>0.10665524297878551</v>
      </c>
    </row>
    <row r="106" spans="1:23">
      <c r="A106" s="2">
        <v>103</v>
      </c>
      <c r="B106" s="2">
        <v>73.583333300000007</v>
      </c>
      <c r="C106">
        <f t="shared" si="14"/>
        <v>0.7443239571392618</v>
      </c>
      <c r="D106" s="21">
        <v>5.0029722438234897E-3</v>
      </c>
      <c r="E106">
        <f t="shared" si="15"/>
        <v>9.9908068559763266E-2</v>
      </c>
      <c r="F106" s="22">
        <f t="shared" si="21"/>
        <v>5.0029722438234897E-3</v>
      </c>
      <c r="G106">
        <f t="shared" si="22"/>
        <v>9.5079395133336297E-2</v>
      </c>
      <c r="H106" s="21">
        <v>0.20504461819361899</v>
      </c>
      <c r="I106">
        <f t="shared" si="16"/>
        <v>2.6398534393047336E-2</v>
      </c>
      <c r="J106" s="22">
        <f t="shared" si="23"/>
        <v>0.20504461819361899</v>
      </c>
      <c r="K106">
        <f t="shared" si="24"/>
        <v>2.6053139068433984E-2</v>
      </c>
      <c r="L106">
        <v>1.7860236457136747E-3</v>
      </c>
      <c r="M106">
        <f t="shared" si="17"/>
        <v>2.6053139068433984E-2</v>
      </c>
      <c r="N106">
        <f t="shared" si="25"/>
        <v>0.20504461819361899</v>
      </c>
      <c r="O106">
        <v>5.0029722438234897E-3</v>
      </c>
      <c r="P106">
        <v>0.20004164594979551</v>
      </c>
      <c r="Q106">
        <v>0.79495538180638103</v>
      </c>
      <c r="R106">
        <f t="shared" si="18"/>
        <v>1</v>
      </c>
      <c r="S106">
        <f t="shared" si="19"/>
        <v>200</v>
      </c>
      <c r="T106">
        <v>210.04372824728529</v>
      </c>
      <c r="U106">
        <f t="shared" si="26"/>
        <v>412.64735936980304</v>
      </c>
      <c r="V106">
        <f t="shared" si="20"/>
        <v>0.1025223090968095</v>
      </c>
      <c r="W106">
        <f t="shared" si="27"/>
        <v>0.10389354816726626</v>
      </c>
    </row>
    <row r="107" spans="1:23">
      <c r="A107" s="2">
        <v>104</v>
      </c>
      <c r="B107" s="2">
        <v>73.666666699999993</v>
      </c>
      <c r="C107">
        <f t="shared" si="14"/>
        <v>0.74219319564457831</v>
      </c>
      <c r="D107" s="21">
        <v>4.52074566285129E-3</v>
      </c>
      <c r="E107">
        <f t="shared" si="15"/>
        <v>0.10135523468861289</v>
      </c>
      <c r="F107" s="22">
        <f t="shared" si="21"/>
        <v>4.52074566285129E-3</v>
      </c>
      <c r="G107">
        <f t="shared" si="22"/>
        <v>9.6388018455937141E-2</v>
      </c>
      <c r="H107" s="21">
        <v>0.19963795411358501</v>
      </c>
      <c r="I107">
        <f t="shared" si="16"/>
        <v>2.6722108510470896E-2</v>
      </c>
      <c r="J107" s="22">
        <f t="shared" si="23"/>
        <v>0.19963795411358501</v>
      </c>
      <c r="K107">
        <f t="shared" si="24"/>
        <v>2.6368232083656018E-2</v>
      </c>
      <c r="L107">
        <v>1.7860236457136747E-3</v>
      </c>
      <c r="M107">
        <f t="shared" si="17"/>
        <v>2.6368232083656018E-2</v>
      </c>
      <c r="N107">
        <f t="shared" si="25"/>
        <v>0.19963795411358501</v>
      </c>
      <c r="O107">
        <v>4.52074566285129E-3</v>
      </c>
      <c r="P107">
        <v>0.19511720845073371</v>
      </c>
      <c r="Q107">
        <v>0.80036204588641502</v>
      </c>
      <c r="R107">
        <f t="shared" si="18"/>
        <v>1</v>
      </c>
      <c r="S107">
        <f t="shared" si="19"/>
        <v>200</v>
      </c>
      <c r="T107">
        <v>204.8730688732704</v>
      </c>
      <c r="U107">
        <f t="shared" si="26"/>
        <v>407.45839856027783</v>
      </c>
      <c r="V107">
        <f t="shared" si="20"/>
        <v>9.9818977056792504E-2</v>
      </c>
      <c r="W107">
        <f t="shared" si="27"/>
        <v>0.101170643076801</v>
      </c>
    </row>
    <row r="108" spans="1:23">
      <c r="A108" s="2">
        <v>105</v>
      </c>
      <c r="B108" s="2">
        <v>73.75</v>
      </c>
      <c r="C108">
        <f t="shared" si="14"/>
        <v>0.74006853383875171</v>
      </c>
      <c r="D108" s="21">
        <v>4.07907897070817E-3</v>
      </c>
      <c r="E108">
        <f t="shared" si="15"/>
        <v>0.10280572943659218</v>
      </c>
      <c r="F108" s="22">
        <f t="shared" si="21"/>
        <v>4.07907897070817E-3</v>
      </c>
      <c r="G108">
        <f t="shared" si="22"/>
        <v>9.7697752778367009E-2</v>
      </c>
      <c r="H108" s="21">
        <v>0.194310901788979</v>
      </c>
      <c r="I108">
        <f t="shared" si="16"/>
        <v>2.7046033837678E-2</v>
      </c>
      <c r="J108" s="22">
        <f t="shared" si="23"/>
        <v>0.194310901788979</v>
      </c>
      <c r="K108">
        <f t="shared" si="24"/>
        <v>2.6683564997741605E-2</v>
      </c>
      <c r="L108">
        <v>1.7860236457136747E-3</v>
      </c>
      <c r="M108">
        <f t="shared" si="17"/>
        <v>2.6683564997741605E-2</v>
      </c>
      <c r="N108">
        <f t="shared" si="25"/>
        <v>0.194310901788979</v>
      </c>
      <c r="O108">
        <v>4.07907897070817E-3</v>
      </c>
      <c r="P108">
        <v>0.19023182281827083</v>
      </c>
      <c r="Q108">
        <v>0.80568909821102097</v>
      </c>
      <c r="R108">
        <f t="shared" si="18"/>
        <v>1</v>
      </c>
      <c r="S108">
        <f t="shared" si="19"/>
        <v>200</v>
      </c>
      <c r="T108">
        <v>199.74341395918438</v>
      </c>
      <c r="U108">
        <f t="shared" si="26"/>
        <v>402.30824141622742</v>
      </c>
      <c r="V108">
        <f t="shared" si="20"/>
        <v>9.7155450894489501E-2</v>
      </c>
      <c r="W108">
        <f t="shared" si="27"/>
        <v>9.8487213975641003E-2</v>
      </c>
    </row>
    <row r="109" spans="1:23">
      <c r="A109" s="2">
        <v>106</v>
      </c>
      <c r="B109" s="2">
        <v>73.833333300000007</v>
      </c>
      <c r="C109">
        <f t="shared" si="14"/>
        <v>0.73794995426032328</v>
      </c>
      <c r="D109" s="21">
        <v>3.6752152308992302E-3</v>
      </c>
      <c r="E109">
        <f t="shared" si="15"/>
        <v>0.10425952327796691</v>
      </c>
      <c r="F109" s="22">
        <f t="shared" si="21"/>
        <v>3.6752152308992302E-3</v>
      </c>
      <c r="G109">
        <f t="shared" si="22"/>
        <v>9.9008561174981358E-2</v>
      </c>
      <c r="H109" s="21">
        <v>0.189064675665752</v>
      </c>
      <c r="I109">
        <f t="shared" si="16"/>
        <v>2.737030702045239E-2</v>
      </c>
      <c r="J109" s="22">
        <f t="shared" si="23"/>
        <v>0.189064675665752</v>
      </c>
      <c r="K109">
        <f t="shared" si="24"/>
        <v>2.6999134247878587E-2</v>
      </c>
      <c r="L109">
        <v>1.7860236457136747E-3</v>
      </c>
      <c r="M109">
        <f t="shared" si="17"/>
        <v>2.6999134247878587E-2</v>
      </c>
      <c r="N109">
        <f t="shared" si="25"/>
        <v>0.189064675665752</v>
      </c>
      <c r="O109">
        <v>3.6752152308992302E-3</v>
      </c>
      <c r="P109">
        <v>0.18538946043485277</v>
      </c>
      <c r="Q109">
        <v>0.81093532433424798</v>
      </c>
      <c r="R109">
        <f t="shared" si="18"/>
        <v>1</v>
      </c>
      <c r="S109">
        <f t="shared" si="19"/>
        <v>200</v>
      </c>
      <c r="T109">
        <v>194.65893345659541</v>
      </c>
      <c r="U109">
        <f t="shared" si="26"/>
        <v>397.20117370788989</v>
      </c>
      <c r="V109">
        <f t="shared" si="20"/>
        <v>9.4532337832875998E-2</v>
      </c>
      <c r="W109">
        <f t="shared" si="27"/>
        <v>9.584389436368275E-2</v>
      </c>
    </row>
    <row r="110" spans="1:23">
      <c r="A110" s="2">
        <v>107</v>
      </c>
      <c r="B110" s="2">
        <v>73.916666699999993</v>
      </c>
      <c r="C110">
        <f t="shared" si="14"/>
        <v>0.73583743949782032</v>
      </c>
      <c r="D110" s="21">
        <v>3.30651614167521E-3</v>
      </c>
      <c r="E110">
        <f t="shared" si="15"/>
        <v>0.10571658725922276</v>
      </c>
      <c r="F110" s="22">
        <f t="shared" si="21"/>
        <v>3.30651614167521E-3</v>
      </c>
      <c r="G110">
        <f t="shared" si="22"/>
        <v>0.10032040739388459</v>
      </c>
      <c r="H110" s="21">
        <v>0.183900386085838</v>
      </c>
      <c r="I110">
        <f t="shared" si="16"/>
        <v>2.7694924770846424E-2</v>
      </c>
      <c r="J110" s="22">
        <f t="shared" si="23"/>
        <v>0.183900386085838</v>
      </c>
      <c r="K110">
        <f t="shared" si="24"/>
        <v>2.7314936339794982E-2</v>
      </c>
      <c r="L110">
        <v>1.7860236457136747E-3</v>
      </c>
      <c r="M110">
        <f t="shared" si="17"/>
        <v>2.7314936339794982E-2</v>
      </c>
      <c r="N110">
        <f t="shared" si="25"/>
        <v>0.183900386085838</v>
      </c>
      <c r="O110">
        <v>3.30651614167521E-3</v>
      </c>
      <c r="P110">
        <v>0.18059386994416279</v>
      </c>
      <c r="Q110">
        <v>0.81609961391416197</v>
      </c>
      <c r="R110">
        <f t="shared" si="18"/>
        <v>1</v>
      </c>
      <c r="S110">
        <f t="shared" si="19"/>
        <v>200</v>
      </c>
      <c r="T110">
        <v>189.62356344137092</v>
      </c>
      <c r="U110">
        <f t="shared" si="26"/>
        <v>392.14124844898316</v>
      </c>
      <c r="V110">
        <f t="shared" si="20"/>
        <v>9.1950193042919001E-2</v>
      </c>
      <c r="W110">
        <f t="shared" si="27"/>
        <v>9.32412654378975E-2</v>
      </c>
    </row>
    <row r="111" spans="1:23">
      <c r="A111" s="2">
        <v>108</v>
      </c>
      <c r="B111" s="2">
        <v>74</v>
      </c>
      <c r="C111">
        <f t="shared" si="14"/>
        <v>0.73373097218961414</v>
      </c>
      <c r="D111" s="21">
        <v>2.9704641407141599E-3</v>
      </c>
      <c r="E111">
        <f t="shared" si="15"/>
        <v>0.10717689298225778</v>
      </c>
      <c r="F111" s="22">
        <f t="shared" si="21"/>
        <v>2.9704641407141599E-3</v>
      </c>
      <c r="G111">
        <f t="shared" si="22"/>
        <v>0.10163325583851324</v>
      </c>
      <c r="H111" s="21">
        <v>0.178819040431073</v>
      </c>
      <c r="I111">
        <f t="shared" si="16"/>
        <v>2.8019883865248896E-2</v>
      </c>
      <c r="J111" s="22">
        <f t="shared" si="23"/>
        <v>0.178819040431073</v>
      </c>
      <c r="K111">
        <f t="shared" si="24"/>
        <v>2.7630967845783783E-2</v>
      </c>
      <c r="L111">
        <v>1.9579049940989801E-3</v>
      </c>
      <c r="M111">
        <f t="shared" si="17"/>
        <v>2.7630967845783783E-2</v>
      </c>
      <c r="N111">
        <f t="shared" si="25"/>
        <v>0.178819040431073</v>
      </c>
      <c r="O111">
        <v>2.9704641407141599E-3</v>
      </c>
      <c r="P111">
        <v>0.17584857629035883</v>
      </c>
      <c r="Q111">
        <v>0.821180959568927</v>
      </c>
      <c r="R111">
        <f t="shared" si="18"/>
        <v>1</v>
      </c>
      <c r="S111">
        <f t="shared" si="19"/>
        <v>200</v>
      </c>
      <c r="T111">
        <v>184.64100510487677</v>
      </c>
      <c r="U111">
        <f t="shared" si="26"/>
        <v>387.13228427312384</v>
      </c>
      <c r="V111">
        <f t="shared" si="20"/>
        <v>8.9409520215536498E-2</v>
      </c>
      <c r="W111">
        <f t="shared" si="27"/>
        <v>9.0679856629227756E-2</v>
      </c>
    </row>
    <row r="112" spans="1:23">
      <c r="A112" s="2">
        <v>109</v>
      </c>
      <c r="B112" s="2">
        <v>74.083333300000007</v>
      </c>
      <c r="C112">
        <f t="shared" si="14"/>
        <v>0.7316305350237774</v>
      </c>
      <c r="D112" s="21">
        <v>2.6646635562836301E-3</v>
      </c>
      <c r="E112">
        <f t="shared" si="15"/>
        <v>0.10864041258821755</v>
      </c>
      <c r="F112" s="22">
        <f t="shared" si="21"/>
        <v>2.6646635562836301E-3</v>
      </c>
      <c r="G112">
        <f t="shared" si="22"/>
        <v>0.10294707154990568</v>
      </c>
      <c r="H112" s="21">
        <v>0.173821544401835</v>
      </c>
      <c r="I112">
        <f t="shared" si="16"/>
        <v>2.8345181142514414E-2</v>
      </c>
      <c r="J112" s="22">
        <f t="shared" si="23"/>
        <v>0.173821544401835</v>
      </c>
      <c r="K112">
        <f t="shared" si="24"/>
        <v>2.7947225402790932E-2</v>
      </c>
      <c r="L112">
        <v>1.9579049940989801E-3</v>
      </c>
      <c r="M112">
        <f t="shared" si="17"/>
        <v>2.7947225402790932E-2</v>
      </c>
      <c r="N112">
        <f t="shared" si="25"/>
        <v>0.173821544401835</v>
      </c>
      <c r="O112">
        <v>2.6646635562836301E-3</v>
      </c>
      <c r="P112">
        <v>0.17115688084555136</v>
      </c>
      <c r="Q112">
        <v>0.82617845559816505</v>
      </c>
      <c r="R112">
        <f t="shared" si="18"/>
        <v>1</v>
      </c>
      <c r="S112">
        <f t="shared" si="19"/>
        <v>200</v>
      </c>
      <c r="T112">
        <v>179.71472488782894</v>
      </c>
      <c r="U112">
        <f t="shared" si="26"/>
        <v>382.17786499635281</v>
      </c>
      <c r="V112">
        <f t="shared" si="20"/>
        <v>8.6910772200917502E-2</v>
      </c>
      <c r="W112">
        <f t="shared" si="27"/>
        <v>8.8160146208227E-2</v>
      </c>
    </row>
    <row r="113" spans="1:23">
      <c r="A113" s="2">
        <v>110</v>
      </c>
      <c r="B113" s="2">
        <v>74.166666699999993</v>
      </c>
      <c r="C113">
        <f t="shared" si="14"/>
        <v>0.72953611073793945</v>
      </c>
      <c r="D113" s="21">
        <v>2.3868408837126299E-3</v>
      </c>
      <c r="E113">
        <f t="shared" si="15"/>
        <v>0.11010711874190281</v>
      </c>
      <c r="F113" s="22">
        <f t="shared" si="21"/>
        <v>2.3868408837126299E-3</v>
      </c>
      <c r="G113">
        <f t="shared" si="22"/>
        <v>0.10426182018959107</v>
      </c>
      <c r="H113" s="21">
        <v>0.168908703424719</v>
      </c>
      <c r="I113">
        <f t="shared" si="16"/>
        <v>2.8670813502073827E-2</v>
      </c>
      <c r="J113" s="22">
        <f t="shared" si="23"/>
        <v>0.168908703424719</v>
      </c>
      <c r="K113">
        <f t="shared" si="24"/>
        <v>2.8263705710488085E-2</v>
      </c>
      <c r="L113">
        <v>1.9579049940989801E-3</v>
      </c>
      <c r="M113">
        <f t="shared" si="17"/>
        <v>2.8263705710488085E-2</v>
      </c>
      <c r="N113">
        <f t="shared" si="25"/>
        <v>0.168908703424719</v>
      </c>
      <c r="O113">
        <v>2.3868408837126299E-3</v>
      </c>
      <c r="P113">
        <v>0.16652186254100637</v>
      </c>
      <c r="Q113">
        <v>0.83109129657528102</v>
      </c>
      <c r="R113">
        <f t="shared" si="18"/>
        <v>1</v>
      </c>
      <c r="S113">
        <f t="shared" si="19"/>
        <v>200</v>
      </c>
      <c r="T113">
        <v>174.8479556680567</v>
      </c>
      <c r="U113">
        <f t="shared" si="26"/>
        <v>377.28134027794283</v>
      </c>
      <c r="V113">
        <f t="shared" si="20"/>
        <v>8.4454351712359502E-2</v>
      </c>
      <c r="W113">
        <f t="shared" si="27"/>
        <v>8.5682561956638509E-2</v>
      </c>
    </row>
    <row r="114" spans="1:23">
      <c r="A114" s="2">
        <v>111</v>
      </c>
      <c r="B114" s="2">
        <v>74.25</v>
      </c>
      <c r="C114">
        <f t="shared" si="14"/>
        <v>0.72744768211914834</v>
      </c>
      <c r="D114" s="21">
        <v>2.1348442666359701E-3</v>
      </c>
      <c r="E114">
        <f t="shared" si="15"/>
        <v>0.11157698461688022</v>
      </c>
      <c r="F114" s="22">
        <f t="shared" si="21"/>
        <v>2.1348442666359701E-3</v>
      </c>
      <c r="G114">
        <f t="shared" si="22"/>
        <v>0.10557746802320966</v>
      </c>
      <c r="H114" s="21">
        <v>0.16408122418336399</v>
      </c>
      <c r="I114">
        <f t="shared" si="16"/>
        <v>2.8996777902288842E-2</v>
      </c>
      <c r="J114" s="22">
        <f t="shared" si="23"/>
        <v>0.16408122418336399</v>
      </c>
      <c r="K114">
        <f t="shared" si="24"/>
        <v>2.8580405529585851E-2</v>
      </c>
      <c r="L114">
        <v>1.9579049940989801E-3</v>
      </c>
      <c r="M114">
        <f t="shared" si="17"/>
        <v>2.8580405529585851E-2</v>
      </c>
      <c r="N114">
        <f t="shared" si="25"/>
        <v>0.16408122418336399</v>
      </c>
      <c r="O114">
        <v>2.1348442666359701E-3</v>
      </c>
      <c r="P114">
        <v>0.16194637991672803</v>
      </c>
      <c r="Q114">
        <v>0.83591877581663598</v>
      </c>
      <c r="R114">
        <f t="shared" si="18"/>
        <v>1</v>
      </c>
      <c r="S114">
        <f t="shared" si="19"/>
        <v>200</v>
      </c>
      <c r="T114">
        <v>170.04369891256442</v>
      </c>
      <c r="U114">
        <f t="shared" si="26"/>
        <v>372.44582729031055</v>
      </c>
      <c r="V114">
        <f t="shared" si="20"/>
        <v>8.2040612091681994E-2</v>
      </c>
      <c r="W114">
        <f t="shared" si="27"/>
        <v>8.3247481902020748E-2</v>
      </c>
    </row>
    <row r="115" spans="1:23">
      <c r="A115" s="2">
        <v>112</v>
      </c>
      <c r="B115" s="2">
        <v>74.333333300000007</v>
      </c>
      <c r="C115">
        <f t="shared" si="14"/>
        <v>0.72536523200372627</v>
      </c>
      <c r="D115" s="21">
        <v>1.90664226222903E-3</v>
      </c>
      <c r="E115">
        <f t="shared" si="15"/>
        <v>0.11304998388101403</v>
      </c>
      <c r="F115" s="22">
        <f t="shared" si="21"/>
        <v>1.90664226222903E-3</v>
      </c>
      <c r="G115">
        <f t="shared" si="22"/>
        <v>0.1068939819046073</v>
      </c>
      <c r="H115" s="21">
        <v>0.15933971626648</v>
      </c>
      <c r="I115">
        <f t="shared" si="16"/>
        <v>2.9323071358709641E-2</v>
      </c>
      <c r="J115" s="22">
        <f t="shared" si="23"/>
        <v>0.15933971626648</v>
      </c>
      <c r="K115">
        <f t="shared" si="24"/>
        <v>2.8897321680055654E-2</v>
      </c>
      <c r="L115">
        <v>1.9579049940989801E-3</v>
      </c>
      <c r="M115">
        <f t="shared" si="17"/>
        <v>2.8897321680055654E-2</v>
      </c>
      <c r="N115">
        <f t="shared" si="25"/>
        <v>0.15933971626648</v>
      </c>
      <c r="O115">
        <v>1.90664226222903E-3</v>
      </c>
      <c r="P115">
        <v>0.15743307400425097</v>
      </c>
      <c r="Q115">
        <v>0.84066028373351998</v>
      </c>
      <c r="R115">
        <f t="shared" si="18"/>
        <v>1</v>
      </c>
      <c r="S115">
        <f t="shared" si="19"/>
        <v>200</v>
      </c>
      <c r="T115">
        <v>165.30472770446352</v>
      </c>
      <c r="U115">
        <f t="shared" si="26"/>
        <v>367.67421330851397</v>
      </c>
      <c r="V115">
        <f t="shared" si="20"/>
        <v>7.9669858133239999E-2</v>
      </c>
      <c r="W115">
        <f t="shared" si="27"/>
        <v>8.0855235112460996E-2</v>
      </c>
    </row>
    <row r="116" spans="1:23">
      <c r="A116" s="2">
        <v>113</v>
      </c>
      <c r="B116" s="2">
        <v>74.416666699999993</v>
      </c>
      <c r="C116">
        <f t="shared" si="14"/>
        <v>0.72328874327712922</v>
      </c>
      <c r="D116" s="21">
        <v>1.70032196860864E-3</v>
      </c>
      <c r="E116">
        <f t="shared" si="15"/>
        <v>0.11452609068272943</v>
      </c>
      <c r="F116" s="22">
        <f t="shared" si="21"/>
        <v>1.70032196860864E-3</v>
      </c>
      <c r="G116">
        <f t="shared" si="22"/>
        <v>0.10821132926067822</v>
      </c>
      <c r="H116" s="21">
        <v>0.15468469392696799</v>
      </c>
      <c r="I116">
        <f t="shared" si="16"/>
        <v>2.9649690942463541E-2</v>
      </c>
      <c r="J116" s="22">
        <f t="shared" si="23"/>
        <v>0.15468469392696799</v>
      </c>
      <c r="K116">
        <f t="shared" si="24"/>
        <v>2.9214451039481837E-2</v>
      </c>
      <c r="L116">
        <v>1.9579049940989801E-3</v>
      </c>
      <c r="M116">
        <f t="shared" si="17"/>
        <v>2.9214451039481837E-2</v>
      </c>
      <c r="N116">
        <f t="shared" si="25"/>
        <v>0.15468469392696799</v>
      </c>
      <c r="O116">
        <v>1.70032196860864E-3</v>
      </c>
      <c r="P116">
        <v>0.15298437195835934</v>
      </c>
      <c r="Q116">
        <v>0.84531530607303207</v>
      </c>
      <c r="R116">
        <f t="shared" si="18"/>
        <v>1</v>
      </c>
      <c r="S116">
        <f t="shared" si="19"/>
        <v>200</v>
      </c>
      <c r="T116">
        <v>160.63359055627731</v>
      </c>
      <c r="U116">
        <f t="shared" si="26"/>
        <v>362.96915913037043</v>
      </c>
      <c r="V116">
        <f t="shared" si="20"/>
        <v>7.7342346963483993E-2</v>
      </c>
      <c r="W116">
        <f t="shared" si="27"/>
        <v>7.8506102548361989E-2</v>
      </c>
    </row>
    <row r="117" spans="1:23">
      <c r="A117" s="2">
        <v>114</v>
      </c>
      <c r="B117" s="2">
        <v>74.5</v>
      </c>
      <c r="C117">
        <f t="shared" si="14"/>
        <v>0.72121819887380778</v>
      </c>
      <c r="D117" s="21">
        <v>1.51408659082483E-3</v>
      </c>
      <c r="E117">
        <f t="shared" si="15"/>
        <v>0.11600527963756697</v>
      </c>
      <c r="F117" s="22">
        <f t="shared" si="21"/>
        <v>1.51408659082483E-3</v>
      </c>
      <c r="G117">
        <f t="shared" si="22"/>
        <v>0.109529478076558</v>
      </c>
      <c r="H117" s="21">
        <v>0.15011657794593999</v>
      </c>
      <c r="I117">
        <f t="shared" si="16"/>
        <v>2.9976633778734611E-2</v>
      </c>
      <c r="J117" s="22">
        <f t="shared" si="23"/>
        <v>0.15011657794593999</v>
      </c>
      <c r="K117">
        <f t="shared" si="24"/>
        <v>2.9531790541504788E-2</v>
      </c>
      <c r="L117">
        <v>1.9579049940989801E-3</v>
      </c>
      <c r="M117">
        <f t="shared" si="17"/>
        <v>2.9531790541504788E-2</v>
      </c>
      <c r="N117">
        <f t="shared" si="25"/>
        <v>0.15011657794593999</v>
      </c>
      <c r="O117">
        <v>1.51408659082483E-3</v>
      </c>
      <c r="P117">
        <v>0.14860249135511516</v>
      </c>
      <c r="Q117">
        <v>0.84988342205405998</v>
      </c>
      <c r="R117">
        <f t="shared" si="18"/>
        <v>1</v>
      </c>
      <c r="S117">
        <f t="shared" si="19"/>
        <v>200</v>
      </c>
      <c r="T117">
        <v>156.03261592287092</v>
      </c>
      <c r="U117">
        <f t="shared" si="26"/>
        <v>358.33310323957414</v>
      </c>
      <c r="V117">
        <f t="shared" si="20"/>
        <v>7.5058288972969997E-2</v>
      </c>
      <c r="W117">
        <f t="shared" si="27"/>
        <v>7.6200317968226988E-2</v>
      </c>
    </row>
    <row r="118" spans="1:23">
      <c r="A118" s="2">
        <v>115</v>
      </c>
      <c r="B118" s="2">
        <v>74.583333300000007</v>
      </c>
      <c r="C118">
        <f t="shared" si="14"/>
        <v>0.71915358177706457</v>
      </c>
      <c r="D118" s="21">
        <v>1.34625251949208E-3</v>
      </c>
      <c r="E118">
        <f t="shared" si="15"/>
        <v>0.11748752581543644</v>
      </c>
      <c r="F118" s="22">
        <f t="shared" si="21"/>
        <v>1.34625251949208E-3</v>
      </c>
      <c r="G118">
        <f t="shared" si="22"/>
        <v>0.1108483968815277</v>
      </c>
      <c r="H118" s="21">
        <v>0.145635697595385</v>
      </c>
      <c r="I118">
        <f t="shared" si="16"/>
        <v>3.0303897045240117E-2</v>
      </c>
      <c r="J118" s="22">
        <f t="shared" si="23"/>
        <v>0.145635697595385</v>
      </c>
      <c r="K118">
        <f t="shared" si="24"/>
        <v>2.9849337174263635E-2</v>
      </c>
      <c r="L118">
        <v>1.9579049940989801E-3</v>
      </c>
      <c r="M118">
        <f t="shared" si="17"/>
        <v>2.9849337174263635E-2</v>
      </c>
      <c r="N118">
        <f t="shared" si="25"/>
        <v>0.145635697595385</v>
      </c>
      <c r="O118">
        <v>1.34625251949208E-3</v>
      </c>
      <c r="P118">
        <v>0.14428944507589292</v>
      </c>
      <c r="Q118">
        <v>0.85436430240461503</v>
      </c>
      <c r="R118">
        <f t="shared" si="18"/>
        <v>1</v>
      </c>
      <c r="S118">
        <f t="shared" si="19"/>
        <v>200</v>
      </c>
      <c r="T118">
        <v>151.50391732968757</v>
      </c>
      <c r="U118">
        <f t="shared" si="26"/>
        <v>353.76826662627923</v>
      </c>
      <c r="V118">
        <f t="shared" si="20"/>
        <v>7.28178487976925E-2</v>
      </c>
      <c r="W118">
        <f t="shared" si="27"/>
        <v>7.3938068885331248E-2</v>
      </c>
    </row>
    <row r="119" spans="1:23">
      <c r="A119" s="2">
        <v>116</v>
      </c>
      <c r="B119" s="2">
        <v>74.666666699999993</v>
      </c>
      <c r="C119">
        <f t="shared" si="14"/>
        <v>0.71709487501891633</v>
      </c>
      <c r="D119" s="21">
        <v>1.19524599319815E-3</v>
      </c>
      <c r="E119">
        <f t="shared" si="15"/>
        <v>0.11897280472821097</v>
      </c>
      <c r="F119" s="22">
        <f t="shared" si="21"/>
        <v>1.19524599319815E-3</v>
      </c>
      <c r="G119">
        <f t="shared" si="22"/>
        <v>0.11216805473530511</v>
      </c>
      <c r="H119" s="21">
        <v>0.141242292693153</v>
      </c>
      <c r="I119">
        <f t="shared" si="16"/>
        <v>3.0631477970792267E-2</v>
      </c>
      <c r="J119" s="22">
        <f t="shared" si="23"/>
        <v>0.141242292693153</v>
      </c>
      <c r="K119">
        <f t="shared" si="24"/>
        <v>3.0167087978924312E-2</v>
      </c>
      <c r="L119">
        <v>1.9579049940989801E-3</v>
      </c>
      <c r="M119">
        <f t="shared" si="17"/>
        <v>3.0167087978924312E-2</v>
      </c>
      <c r="N119">
        <f t="shared" si="25"/>
        <v>0.141242292693153</v>
      </c>
      <c r="O119">
        <v>1.19524599319815E-3</v>
      </c>
      <c r="P119">
        <v>0.14004704669995485</v>
      </c>
      <c r="Q119">
        <v>0.85875770730684697</v>
      </c>
      <c r="R119">
        <f t="shared" si="18"/>
        <v>1</v>
      </c>
      <c r="S119">
        <f t="shared" si="19"/>
        <v>200</v>
      </c>
      <c r="T119">
        <v>147.04939903495259</v>
      </c>
      <c r="U119">
        <f t="shared" si="26"/>
        <v>349.27665818232003</v>
      </c>
      <c r="V119">
        <f t="shared" si="20"/>
        <v>7.0621146346576499E-2</v>
      </c>
      <c r="W119">
        <f t="shared" si="27"/>
        <v>7.17194975721345E-2</v>
      </c>
    </row>
    <row r="120" spans="1:23">
      <c r="A120" s="2">
        <v>117</v>
      </c>
      <c r="B120" s="2">
        <v>74.75</v>
      </c>
      <c r="C120">
        <f t="shared" si="14"/>
        <v>0.71504206167995354</v>
      </c>
      <c r="D120" s="21">
        <v>1.0595994124667199E-3</v>
      </c>
      <c r="E120">
        <f t="shared" si="15"/>
        <v>0.12046109231780477</v>
      </c>
      <c r="F120" s="22">
        <f t="shared" si="21"/>
        <v>1.0595994124667199E-3</v>
      </c>
      <c r="G120">
        <f t="shared" si="22"/>
        <v>0.11348842121484726</v>
      </c>
      <c r="H120" s="21">
        <v>0.13693651574389301</v>
      </c>
      <c r="I120">
        <f t="shared" si="16"/>
        <v>3.0959373833919938E-2</v>
      </c>
      <c r="J120" s="22">
        <f t="shared" si="23"/>
        <v>0.13693651574389301</v>
      </c>
      <c r="K120">
        <f t="shared" si="24"/>
        <v>3.0485040048268242E-2</v>
      </c>
      <c r="L120">
        <v>1.9579049940989801E-3</v>
      </c>
      <c r="M120">
        <f t="shared" si="17"/>
        <v>3.0485040048268242E-2</v>
      </c>
      <c r="N120">
        <f t="shared" si="25"/>
        <v>0.13693651574389301</v>
      </c>
      <c r="O120">
        <v>1.0595994124667199E-3</v>
      </c>
      <c r="P120">
        <v>0.13587691633142629</v>
      </c>
      <c r="Q120">
        <v>0.86306348425610702</v>
      </c>
      <c r="R120">
        <f t="shared" si="18"/>
        <v>1</v>
      </c>
      <c r="S120">
        <f t="shared" si="19"/>
        <v>200</v>
      </c>
      <c r="T120">
        <v>142.67076214799761</v>
      </c>
      <c r="U120">
        <f t="shared" si="26"/>
        <v>344.86008059147508</v>
      </c>
      <c r="V120">
        <f t="shared" si="20"/>
        <v>6.8468257871946506E-2</v>
      </c>
      <c r="W120">
        <f t="shared" si="27"/>
        <v>6.9544702109261503E-2</v>
      </c>
    </row>
    <row r="121" spans="1:23">
      <c r="A121" s="2">
        <v>118</v>
      </c>
      <c r="B121" s="2">
        <v>74.833333300000007</v>
      </c>
      <c r="C121">
        <f t="shared" si="14"/>
        <v>0.71299512488920125</v>
      </c>
      <c r="D121" s="21">
        <v>9.3794736932196099E-4</v>
      </c>
      <c r="E121">
        <f t="shared" si="15"/>
        <v>0.1219523649446722</v>
      </c>
      <c r="F121" s="22">
        <f t="shared" si="21"/>
        <v>9.3794736932196099E-4</v>
      </c>
      <c r="G121">
        <f t="shared" si="22"/>
        <v>0.11480946640160561</v>
      </c>
      <c r="H121" s="21">
        <v>0.132718434159564</v>
      </c>
      <c r="I121">
        <f t="shared" si="16"/>
        <v>3.1287581961500971E-2</v>
      </c>
      <c r="J121" s="22">
        <f t="shared" si="23"/>
        <v>0.132718434159564</v>
      </c>
      <c r="K121">
        <f t="shared" si="24"/>
        <v>3.0803190525293678E-2</v>
      </c>
      <c r="L121">
        <v>1.9579049940989801E-3</v>
      </c>
      <c r="M121">
        <f t="shared" si="17"/>
        <v>3.0803190525293678E-2</v>
      </c>
      <c r="N121">
        <f t="shared" si="25"/>
        <v>0.132718434159564</v>
      </c>
      <c r="O121">
        <v>9.3794736932196099E-4</v>
      </c>
      <c r="P121">
        <v>0.13178048679024204</v>
      </c>
      <c r="Q121">
        <v>0.86728156584043603</v>
      </c>
      <c r="R121">
        <f t="shared" si="18"/>
        <v>1</v>
      </c>
      <c r="S121">
        <f t="shared" si="19"/>
        <v>200</v>
      </c>
      <c r="T121">
        <v>138.36951112975413</v>
      </c>
      <c r="U121">
        <f t="shared" si="26"/>
        <v>340.52013663887584</v>
      </c>
      <c r="V121">
        <f t="shared" si="20"/>
        <v>6.6359217079781999E-2</v>
      </c>
      <c r="W121">
        <f t="shared" si="27"/>
        <v>6.7413737475864252E-2</v>
      </c>
    </row>
    <row r="122" spans="1:23">
      <c r="A122" s="2">
        <v>119</v>
      </c>
      <c r="B122" s="2">
        <v>74.916666699999993</v>
      </c>
      <c r="C122">
        <f t="shared" si="14"/>
        <v>0.71095404782398086</v>
      </c>
      <c r="D122" s="21">
        <v>8.2902245248830996E-4</v>
      </c>
      <c r="E122">
        <f t="shared" si="15"/>
        <v>0.12344659937678894</v>
      </c>
      <c r="F122" s="22">
        <f t="shared" si="21"/>
        <v>8.2902245248830996E-4</v>
      </c>
      <c r="G122">
        <f t="shared" si="22"/>
        <v>0.11613116086928466</v>
      </c>
      <c r="H122" s="21">
        <v>0.12858803255311299</v>
      </c>
      <c r="I122">
        <f t="shared" si="16"/>
        <v>3.1616099727534243E-2</v>
      </c>
      <c r="J122" s="22">
        <f t="shared" si="23"/>
        <v>0.12858803255311299</v>
      </c>
      <c r="K122">
        <f t="shared" si="24"/>
        <v>3.1121536601954825E-2</v>
      </c>
      <c r="L122">
        <v>1.9579049940989801E-3</v>
      </c>
      <c r="M122">
        <f t="shared" si="17"/>
        <v>3.1121536601954825E-2</v>
      </c>
      <c r="N122">
        <f t="shared" si="25"/>
        <v>0.12858803255311299</v>
      </c>
      <c r="O122">
        <v>8.2902245248830996E-4</v>
      </c>
      <c r="P122">
        <v>0.12775901010062468</v>
      </c>
      <c r="Q122">
        <v>0.87141196744688698</v>
      </c>
      <c r="R122">
        <f t="shared" si="18"/>
        <v>1</v>
      </c>
      <c r="S122">
        <f t="shared" si="19"/>
        <v>200</v>
      </c>
      <c r="T122">
        <v>134.14696060565592</v>
      </c>
      <c r="U122">
        <f t="shared" si="26"/>
        <v>336.25823586770503</v>
      </c>
      <c r="V122">
        <f t="shared" si="20"/>
        <v>6.4294016276556495E-2</v>
      </c>
      <c r="W122">
        <f t="shared" si="27"/>
        <v>6.5326616678169247E-2</v>
      </c>
    </row>
    <row r="123" spans="1:23">
      <c r="A123" s="2">
        <v>120</v>
      </c>
      <c r="B123" s="2">
        <v>75</v>
      </c>
      <c r="C123">
        <f t="shared" si="14"/>
        <v>0.70891881370977239</v>
      </c>
      <c r="D123" s="21">
        <v>7.3165088403353998E-4</v>
      </c>
      <c r="E123">
        <f t="shared" si="15"/>
        <v>0.12494377277885553</v>
      </c>
      <c r="F123" s="22">
        <f t="shared" si="21"/>
        <v>7.3165088403353998E-4</v>
      </c>
      <c r="G123">
        <f t="shared" si="22"/>
        <v>0.11745347567187037</v>
      </c>
      <c r="H123" s="21">
        <v>0.12454521509895899</v>
      </c>
      <c r="I123">
        <f t="shared" si="16"/>
        <v>3.1944924551795713E-2</v>
      </c>
      <c r="J123" s="22">
        <f t="shared" si="23"/>
        <v>0.12454521509895899</v>
      </c>
      <c r="K123">
        <f t="shared" si="24"/>
        <v>3.1440075517790711E-2</v>
      </c>
      <c r="L123">
        <v>2.1612991493864531E-3</v>
      </c>
      <c r="M123">
        <f t="shared" si="17"/>
        <v>3.1440075517790711E-2</v>
      </c>
      <c r="N123">
        <f t="shared" si="25"/>
        <v>0.12454521509895899</v>
      </c>
      <c r="O123">
        <v>7.3165088403353998E-4</v>
      </c>
      <c r="P123">
        <v>0.12381356421492545</v>
      </c>
      <c r="Q123">
        <v>0.87545478490104101</v>
      </c>
      <c r="R123">
        <f t="shared" si="18"/>
        <v>1</v>
      </c>
      <c r="S123">
        <f t="shared" si="19"/>
        <v>200</v>
      </c>
      <c r="T123">
        <v>130.00424242567172</v>
      </c>
      <c r="U123">
        <f t="shared" si="26"/>
        <v>332.07560151566383</v>
      </c>
      <c r="V123">
        <f t="shared" si="20"/>
        <v>6.2272607549479497E-2</v>
      </c>
      <c r="W123">
        <f t="shared" si="27"/>
        <v>6.3283311913018003E-2</v>
      </c>
    </row>
    <row r="124" spans="1:23">
      <c r="A124" s="2">
        <v>121</v>
      </c>
      <c r="B124" s="2">
        <v>75.083333300000007</v>
      </c>
      <c r="C124">
        <f t="shared" si="14"/>
        <v>0.70688940582007465</v>
      </c>
      <c r="D124" s="21">
        <v>6.4558138158626096E-4</v>
      </c>
      <c r="E124">
        <f t="shared" si="15"/>
        <v>0.12515218820245846</v>
      </c>
      <c r="F124" s="22">
        <f t="shared" si="21"/>
        <v>6.4558138158626096E-4</v>
      </c>
      <c r="G124">
        <f t="shared" si="22"/>
        <v>0.11763739281333729</v>
      </c>
      <c r="H124" s="21">
        <v>0.12062629154957399</v>
      </c>
      <c r="I124">
        <f t="shared" si="16"/>
        <v>3.1971556710292656E-2</v>
      </c>
      <c r="J124" s="22">
        <f t="shared" si="23"/>
        <v>0.12062629154957399</v>
      </c>
      <c r="K124">
        <f t="shared" si="24"/>
        <v>3.1465870015730202E-2</v>
      </c>
      <c r="L124">
        <v>2.1612991493864531E-3</v>
      </c>
      <c r="M124">
        <f t="shared" si="17"/>
        <v>3.1465870015730202E-2</v>
      </c>
      <c r="N124">
        <f t="shared" si="25"/>
        <v>0.12062629154957399</v>
      </c>
      <c r="O124">
        <v>6.4558138158626096E-4</v>
      </c>
      <c r="P124">
        <v>0.11998071016798774</v>
      </c>
      <c r="Q124">
        <v>0.87937370845042606</v>
      </c>
      <c r="R124">
        <f t="shared" si="18"/>
        <v>1</v>
      </c>
      <c r="S124">
        <f t="shared" si="19"/>
        <v>200</v>
      </c>
      <c r="T124">
        <v>125.97974567638713</v>
      </c>
      <c r="U124">
        <f t="shared" si="26"/>
        <v>327.99199405102939</v>
      </c>
      <c r="V124">
        <f t="shared" si="20"/>
        <v>6.0313145774786997E-2</v>
      </c>
      <c r="W124">
        <f t="shared" si="27"/>
        <v>6.1292876662133247E-2</v>
      </c>
    </row>
    <row r="125" spans="1:23">
      <c r="A125" s="2">
        <v>122</v>
      </c>
      <c r="B125" s="2">
        <v>75.166666699999993</v>
      </c>
      <c r="C125">
        <f t="shared" si="14"/>
        <v>0.70486580747627015</v>
      </c>
      <c r="D125" s="21">
        <v>5.6951894770547104E-4</v>
      </c>
      <c r="E125">
        <f t="shared" si="15"/>
        <v>0.12535922450185491</v>
      </c>
      <c r="F125" s="22">
        <f t="shared" si="21"/>
        <v>5.6951894770547104E-4</v>
      </c>
      <c r="G125">
        <f t="shared" si="22"/>
        <v>0.11782005499275172</v>
      </c>
      <c r="H125" s="21">
        <v>0.11682759207995499</v>
      </c>
      <c r="I125">
        <f t="shared" si="16"/>
        <v>3.1997990691925146E-2</v>
      </c>
      <c r="J125" s="22">
        <f t="shared" si="23"/>
        <v>0.11682759207995499</v>
      </c>
      <c r="K125">
        <f t="shared" si="24"/>
        <v>3.149147189075141E-2</v>
      </c>
      <c r="L125">
        <v>2.1612991493864531E-3</v>
      </c>
      <c r="M125">
        <f t="shared" si="17"/>
        <v>3.149147189075141E-2</v>
      </c>
      <c r="N125">
        <f t="shared" si="25"/>
        <v>0.11682759207995499</v>
      </c>
      <c r="O125">
        <v>5.6951894770547104E-4</v>
      </c>
      <c r="P125">
        <v>0.11625807313224952</v>
      </c>
      <c r="Q125">
        <v>0.88317240792004503</v>
      </c>
      <c r="R125">
        <f t="shared" si="18"/>
        <v>1</v>
      </c>
      <c r="S125">
        <f t="shared" si="19"/>
        <v>200</v>
      </c>
      <c r="T125">
        <v>122.070976788862</v>
      </c>
      <c r="U125">
        <f t="shared" si="26"/>
        <v>324.02536123262456</v>
      </c>
      <c r="V125">
        <f t="shared" si="20"/>
        <v>5.8413796039977497E-2</v>
      </c>
      <c r="W125">
        <f t="shared" si="27"/>
        <v>5.9363470907382247E-2</v>
      </c>
    </row>
    <row r="126" spans="1:23">
      <c r="A126" s="2">
        <v>123</v>
      </c>
      <c r="B126" s="2">
        <v>75.25</v>
      </c>
      <c r="C126">
        <f t="shared" si="14"/>
        <v>0.70284800204748654</v>
      </c>
      <c r="D126" s="21">
        <v>5.02314868455277E-4</v>
      </c>
      <c r="E126">
        <f t="shared" si="15"/>
        <v>0.12556490204218881</v>
      </c>
      <c r="F126" s="22">
        <f t="shared" si="21"/>
        <v>5.02314868455277E-4</v>
      </c>
      <c r="G126">
        <f t="shared" si="22"/>
        <v>0.11800148093571228</v>
      </c>
      <c r="H126" s="21">
        <v>0.113145550395019</v>
      </c>
      <c r="I126">
        <f t="shared" si="16"/>
        <v>3.2024229584449129E-2</v>
      </c>
      <c r="J126" s="22">
        <f t="shared" si="23"/>
        <v>0.113145550395019</v>
      </c>
      <c r="K126">
        <f t="shared" si="24"/>
        <v>3.151688414853282E-2</v>
      </c>
      <c r="L126">
        <v>2.1612991493864531E-3</v>
      </c>
      <c r="M126">
        <f t="shared" si="17"/>
        <v>3.151688414853282E-2</v>
      </c>
      <c r="N126">
        <f t="shared" si="25"/>
        <v>0.113145550395019</v>
      </c>
      <c r="O126">
        <v>5.02314868455277E-4</v>
      </c>
      <c r="P126">
        <v>0.11264323552656372</v>
      </c>
      <c r="Q126">
        <v>0.88685444960498105</v>
      </c>
      <c r="R126">
        <f t="shared" si="18"/>
        <v>1</v>
      </c>
      <c r="S126">
        <f t="shared" si="19"/>
        <v>200</v>
      </c>
      <c r="T126">
        <v>118.2753973028919</v>
      </c>
      <c r="U126">
        <f t="shared" si="26"/>
        <v>320.17318704587694</v>
      </c>
      <c r="V126">
        <f t="shared" si="20"/>
        <v>5.6572775197509501E-2</v>
      </c>
      <c r="W126">
        <f t="shared" si="27"/>
        <v>5.7493285618743499E-2</v>
      </c>
    </row>
    <row r="127" spans="1:23">
      <c r="A127" s="2">
        <v>124</v>
      </c>
      <c r="B127" s="2">
        <v>75.333333300000007</v>
      </c>
      <c r="C127">
        <f t="shared" si="14"/>
        <v>0.70083597295046007</v>
      </c>
      <c r="D127" s="21">
        <v>4.42950448922251E-4</v>
      </c>
      <c r="E127">
        <f t="shared" si="15"/>
        <v>0.125769240724594</v>
      </c>
      <c r="F127" s="22">
        <f t="shared" si="21"/>
        <v>4.42950448922251E-4</v>
      </c>
      <c r="G127">
        <f t="shared" si="22"/>
        <v>0.11818168893862124</v>
      </c>
      <c r="H127" s="21">
        <v>0.109576701029702</v>
      </c>
      <c r="I127">
        <f t="shared" si="16"/>
        <v>3.2050276402774795E-2</v>
      </c>
      <c r="J127" s="22">
        <f t="shared" si="23"/>
        <v>0.109576701029702</v>
      </c>
      <c r="K127">
        <f t="shared" si="24"/>
        <v>3.1542109723778466E-2</v>
      </c>
      <c r="L127">
        <v>2.1612991493864531E-3</v>
      </c>
      <c r="M127">
        <f t="shared" si="17"/>
        <v>3.1542109723778466E-2</v>
      </c>
      <c r="N127">
        <f t="shared" si="25"/>
        <v>0.109576701029702</v>
      </c>
      <c r="O127">
        <v>4.42950448922251E-4</v>
      </c>
      <c r="P127">
        <v>0.10913375058077976</v>
      </c>
      <c r="Q127">
        <v>0.89042329897029804</v>
      </c>
      <c r="R127">
        <f t="shared" si="18"/>
        <v>1</v>
      </c>
      <c r="S127">
        <f t="shared" si="19"/>
        <v>200</v>
      </c>
      <c r="T127">
        <v>114.59043810981875</v>
      </c>
      <c r="U127">
        <f t="shared" si="26"/>
        <v>316.43291770635528</v>
      </c>
      <c r="V127">
        <f t="shared" si="20"/>
        <v>5.4788350514851002E-2</v>
      </c>
      <c r="W127">
        <f t="shared" si="27"/>
        <v>5.5680562856180255E-2</v>
      </c>
    </row>
    <row r="128" spans="1:23">
      <c r="A128" s="2">
        <v>125</v>
      </c>
      <c r="B128" s="2">
        <v>75.416666699999993</v>
      </c>
      <c r="C128">
        <f t="shared" si="14"/>
        <v>0.69882970364940056</v>
      </c>
      <c r="D128" s="21">
        <v>3.9052252510365199E-4</v>
      </c>
      <c r="E128">
        <f t="shared" si="15"/>
        <v>0.12597226000045172</v>
      </c>
      <c r="F128" s="22">
        <f t="shared" si="21"/>
        <v>3.9052252510365199E-4</v>
      </c>
      <c r="G128">
        <f t="shared" si="22"/>
        <v>0.11836069688192463</v>
      </c>
      <c r="H128" s="21">
        <v>0.106117676709354</v>
      </c>
      <c r="I128">
        <f t="shared" si="16"/>
        <v>3.207613409122085E-2</v>
      </c>
      <c r="J128" s="22">
        <f t="shared" si="23"/>
        <v>0.106117676709354</v>
      </c>
      <c r="K128">
        <f t="shared" si="24"/>
        <v>3.1567151482415956E-2</v>
      </c>
      <c r="L128">
        <v>2.1612991493864531E-3</v>
      </c>
      <c r="M128">
        <f t="shared" si="17"/>
        <v>3.1567151482415956E-2</v>
      </c>
      <c r="N128">
        <f t="shared" si="25"/>
        <v>0.106117676709354</v>
      </c>
      <c r="O128">
        <v>3.9052252510365199E-4</v>
      </c>
      <c r="P128">
        <v>0.10572715418425035</v>
      </c>
      <c r="Q128">
        <v>0.89388232329064599</v>
      </c>
      <c r="R128">
        <f t="shared" si="18"/>
        <v>1</v>
      </c>
      <c r="S128">
        <f t="shared" si="19"/>
        <v>200</v>
      </c>
      <c r="T128">
        <v>111.01351189346288</v>
      </c>
      <c r="U128">
        <f t="shared" si="26"/>
        <v>312.80197500164081</v>
      </c>
      <c r="V128">
        <f t="shared" si="20"/>
        <v>5.3058838354677E-2</v>
      </c>
      <c r="W128">
        <f t="shared" si="27"/>
        <v>5.3923594434764001E-2</v>
      </c>
    </row>
    <row r="129" spans="1:23">
      <c r="A129" s="2">
        <v>126</v>
      </c>
      <c r="B129" s="2">
        <v>75.5</v>
      </c>
      <c r="C129">
        <f t="shared" si="14"/>
        <v>0.69682917765585306</v>
      </c>
      <c r="D129" s="21">
        <v>3.4423056207533701E-4</v>
      </c>
      <c r="E129">
        <f t="shared" si="15"/>
        <v>0.12617397888505619</v>
      </c>
      <c r="F129" s="22">
        <f t="shared" si="21"/>
        <v>3.4423056207533701E-4</v>
      </c>
      <c r="G129">
        <f t="shared" si="22"/>
        <v>0.11853852224280337</v>
      </c>
      <c r="H129" s="21">
        <v>0.10276520576958401</v>
      </c>
      <c r="I129">
        <f t="shared" si="16"/>
        <v>3.2101805525841465E-2</v>
      </c>
      <c r="J129" s="22">
        <f t="shared" si="23"/>
        <v>0.10276520576958401</v>
      </c>
      <c r="K129">
        <f t="shared" si="24"/>
        <v>3.1592012223864319E-2</v>
      </c>
      <c r="L129">
        <v>2.1612991493864531E-3</v>
      </c>
      <c r="M129">
        <f t="shared" si="17"/>
        <v>3.1592012223864319E-2</v>
      </c>
      <c r="N129">
        <f t="shared" si="25"/>
        <v>0.10276520576958401</v>
      </c>
      <c r="O129">
        <v>3.4423056207533701E-4</v>
      </c>
      <c r="P129">
        <v>0.10242097520750867</v>
      </c>
      <c r="Q129">
        <v>0.89723479423041597</v>
      </c>
      <c r="R129">
        <f t="shared" si="18"/>
        <v>1</v>
      </c>
      <c r="S129">
        <f t="shared" si="19"/>
        <v>200</v>
      </c>
      <c r="T129">
        <v>107.54202396788411</v>
      </c>
      <c r="U129">
        <f t="shared" si="26"/>
        <v>309.27776793067352</v>
      </c>
      <c r="V129">
        <f t="shared" si="20"/>
        <v>5.1382602884792003E-2</v>
      </c>
      <c r="W129">
        <f t="shared" si="27"/>
        <v>5.2220720619734498E-2</v>
      </c>
    </row>
    <row r="130" spans="1:23">
      <c r="A130" s="2">
        <v>127</v>
      </c>
      <c r="B130" s="2">
        <v>75.583333300000007</v>
      </c>
      <c r="C130">
        <f t="shared" si="14"/>
        <v>0.69483437852856489</v>
      </c>
      <c r="D130" s="21">
        <v>3.0336516821163098E-4</v>
      </c>
      <c r="E130">
        <f t="shared" si="15"/>
        <v>0.12637441597078239</v>
      </c>
      <c r="F130" s="22">
        <f t="shared" si="21"/>
        <v>3.0336516821163098E-4</v>
      </c>
      <c r="G130">
        <f t="shared" si="22"/>
        <v>0.11871518210739929</v>
      </c>
      <c r="H130" s="21">
        <v>9.9516109634733896E-2</v>
      </c>
      <c r="I130">
        <f t="shared" si="16"/>
        <v>3.2127293516417132E-2</v>
      </c>
      <c r="J130" s="22">
        <f t="shared" si="23"/>
        <v>9.9516109634733896E-2</v>
      </c>
      <c r="K130">
        <f t="shared" si="24"/>
        <v>3.1616694682975677E-2</v>
      </c>
      <c r="L130">
        <v>2.1612991493864531E-3</v>
      </c>
      <c r="M130">
        <f t="shared" si="17"/>
        <v>3.1616694682975677E-2</v>
      </c>
      <c r="N130">
        <f t="shared" si="25"/>
        <v>9.9516109634733896E-2</v>
      </c>
      <c r="O130">
        <v>3.0336516821163098E-4</v>
      </c>
      <c r="P130">
        <v>9.9212744466522271E-2</v>
      </c>
      <c r="Q130">
        <v>0.9004838903652661</v>
      </c>
      <c r="R130">
        <f t="shared" si="18"/>
        <v>1</v>
      </c>
      <c r="S130">
        <f t="shared" si="19"/>
        <v>200</v>
      </c>
      <c r="T130">
        <v>104.17338168984838</v>
      </c>
      <c r="U130">
        <f t="shared" si="26"/>
        <v>305.85770282886625</v>
      </c>
      <c r="V130">
        <f t="shared" si="20"/>
        <v>4.9758054817366948E-2</v>
      </c>
      <c r="W130">
        <f t="shared" si="27"/>
        <v>5.0570328851079475E-2</v>
      </c>
    </row>
    <row r="131" spans="1:23">
      <c r="A131" s="2">
        <v>128</v>
      </c>
      <c r="B131" s="2">
        <v>75.666666699999993</v>
      </c>
      <c r="C131">
        <f t="shared" ref="C131:C194" si="28">1/(1+Disc_rate_per_cyc)^$A131</f>
        <v>0.69284528987334926</v>
      </c>
      <c r="D131" s="21">
        <v>2.6729787307549899E-4</v>
      </c>
      <c r="E131">
        <f t="shared" si="15"/>
        <v>0.12657358943976313</v>
      </c>
      <c r="F131" s="22">
        <f t="shared" si="21"/>
        <v>2.6729787307549899E-4</v>
      </c>
      <c r="G131">
        <f t="shared" si="22"/>
        <v>0.11889069318258394</v>
      </c>
      <c r="H131" s="21">
        <v>9.6367300354092203E-2</v>
      </c>
      <c r="I131">
        <f t="shared" si="16"/>
        <v>3.215260080855778E-2</v>
      </c>
      <c r="J131" s="22">
        <f t="shared" si="23"/>
        <v>9.6367300354092203E-2</v>
      </c>
      <c r="K131">
        <f t="shared" si="24"/>
        <v>3.1641201532085161E-2</v>
      </c>
      <c r="L131">
        <v>2.1612991493864531E-3</v>
      </c>
      <c r="M131">
        <f t="shared" si="17"/>
        <v>3.1641201532085161E-2</v>
      </c>
      <c r="N131">
        <f t="shared" si="25"/>
        <v>9.6367300354092203E-2</v>
      </c>
      <c r="O131">
        <v>2.6729787307549899E-4</v>
      </c>
      <c r="P131">
        <v>9.6100002481016703E-2</v>
      </c>
      <c r="Q131">
        <v>0.90363269964590776</v>
      </c>
      <c r="R131">
        <f t="shared" si="18"/>
        <v>1</v>
      </c>
      <c r="S131">
        <f t="shared" si="19"/>
        <v>200</v>
      </c>
      <c r="T131">
        <v>100.90500260506754</v>
      </c>
      <c r="U131">
        <f t="shared" si="26"/>
        <v>302.53919214745792</v>
      </c>
      <c r="V131">
        <f t="shared" si="20"/>
        <v>4.8183650177046101E-2</v>
      </c>
      <c r="W131">
        <f t="shared" si="27"/>
        <v>4.8970852497206521E-2</v>
      </c>
    </row>
    <row r="132" spans="1:23">
      <c r="A132" s="2">
        <v>129</v>
      </c>
      <c r="B132" s="2">
        <v>75.75</v>
      </c>
      <c r="C132">
        <f t="shared" si="28"/>
        <v>0.69086189534295028</v>
      </c>
      <c r="D132" s="21">
        <v>2.35472032623836E-4</v>
      </c>
      <c r="E132">
        <f t="shared" ref="E132:E195" si="29">-LN(D132/D131)*psa_hrscl_pfs_VtUs</f>
        <v>0.12677151707606613</v>
      </c>
      <c r="F132" s="22">
        <f t="shared" si="21"/>
        <v>2.35472032623836E-4</v>
      </c>
      <c r="G132">
        <f t="shared" si="22"/>
        <v>0.11906507180726311</v>
      </c>
      <c r="H132" s="21">
        <v>9.3315778194975593E-2</v>
      </c>
      <c r="I132">
        <f t="shared" ref="I132:I195" si="30">-LN(H132/H131)*PSA_trtHRsclr_os_VtUs</f>
        <v>3.2177730085635611E-2</v>
      </c>
      <c r="J132" s="22">
        <f t="shared" si="23"/>
        <v>9.3315778194975593E-2</v>
      </c>
      <c r="K132">
        <f t="shared" si="24"/>
        <v>3.1665535382895293E-2</v>
      </c>
      <c r="L132">
        <v>2.1612991493864531E-3</v>
      </c>
      <c r="M132">
        <f t="shared" ref="M132:M195" si="31">MAX(K132:L132)</f>
        <v>3.1665535382895293E-2</v>
      </c>
      <c r="N132">
        <f t="shared" si="25"/>
        <v>9.3315778194975593E-2</v>
      </c>
      <c r="O132">
        <v>2.35472032623836E-4</v>
      </c>
      <c r="P132">
        <v>9.3080306162351759E-2</v>
      </c>
      <c r="Q132">
        <v>0.90668422180502439</v>
      </c>
      <c r="R132">
        <f t="shared" ref="R132:R195" si="32">SUM(O132:Q132)</f>
        <v>1</v>
      </c>
      <c r="S132">
        <f t="shared" ref="S132:S195" si="33">IF(A132&lt;24,O132*trt_lst_price*(1-trt_pas_disc),Mntr_Adm_cst_VtUs)</f>
        <v>200</v>
      </c>
      <c r="T132">
        <v>97.734321470469339</v>
      </c>
      <c r="U132">
        <f t="shared" si="26"/>
        <v>299.31966203776847</v>
      </c>
      <c r="V132">
        <f t="shared" ref="V132:V195" si="34">IF(A131&lt;=3,pd_ulty_VtUs-Utlty_AE_Disutlt,pd_ulty_VtUs)*O132+pd_ulty_VtUs*P132</f>
        <v>4.6657889097487797E-2</v>
      </c>
      <c r="W132">
        <f t="shared" si="27"/>
        <v>4.7420769637266949E-2</v>
      </c>
    </row>
    <row r="133" spans="1:23">
      <c r="A133" s="2">
        <v>130</v>
      </c>
      <c r="B133" s="2">
        <v>75.833333300000007</v>
      </c>
      <c r="C133">
        <f t="shared" si="28"/>
        <v>0.68888417863690954</v>
      </c>
      <c r="D133" s="21">
        <v>2.0739473975882599E-4</v>
      </c>
      <c r="E133">
        <f t="shared" si="29"/>
        <v>0.12696821627742583</v>
      </c>
      <c r="F133" s="22">
        <f t="shared" ref="F133:F196" si="35">D132*EXP(-E133)</f>
        <v>2.0739473975882599E-4</v>
      </c>
      <c r="G133">
        <f t="shared" ref="G133:G196" si="36">1-D133/D132</f>
        <v>0.119238333963266</v>
      </c>
      <c r="H133" s="21">
        <v>9.0358629291779305E-2</v>
      </c>
      <c r="I133">
        <f t="shared" si="30"/>
        <v>3.2202683970674814E-2</v>
      </c>
      <c r="J133" s="22">
        <f t="shared" ref="J133:J196" si="37">H132*EXP(-I133)</f>
        <v>9.0358629291779305E-2</v>
      </c>
      <c r="K133">
        <f t="shared" ref="K133:K196" si="38">1-J133/J132</f>
        <v>3.1689698788318177E-2</v>
      </c>
      <c r="L133">
        <v>2.1612991493864531E-3</v>
      </c>
      <c r="M133">
        <f t="shared" si="31"/>
        <v>3.1689698788318177E-2</v>
      </c>
      <c r="N133">
        <f t="shared" ref="N133:N196" si="39">N132*(1-M133)</f>
        <v>9.0358629291779305E-2</v>
      </c>
      <c r="O133">
        <v>2.0739473975882599E-4</v>
      </c>
      <c r="P133">
        <v>9.0151234552020482E-2</v>
      </c>
      <c r="Q133">
        <v>0.90964137070822071</v>
      </c>
      <c r="R133">
        <f t="shared" si="32"/>
        <v>1</v>
      </c>
      <c r="S133">
        <f t="shared" si="33"/>
        <v>200</v>
      </c>
      <c r="T133">
        <v>94.658796279621512</v>
      </c>
      <c r="U133">
        <f t="shared" ref="U133:U196" si="40">(S133+T133+S132+T132)/2</f>
        <v>296.19655887504541</v>
      </c>
      <c r="V133">
        <f t="shared" si="34"/>
        <v>4.5179314645889652E-2</v>
      </c>
      <c r="W133">
        <f t="shared" si="27"/>
        <v>4.5918601871688725E-2</v>
      </c>
    </row>
    <row r="134" spans="1:23">
      <c r="A134" s="2">
        <v>131</v>
      </c>
      <c r="B134" s="2">
        <v>75.916666699999993</v>
      </c>
      <c r="C134">
        <f t="shared" si="28"/>
        <v>0.68691212350143105</v>
      </c>
      <c r="D134" s="21">
        <v>1.8262963116454401E-4</v>
      </c>
      <c r="E134">
        <f t="shared" si="29"/>
        <v>0.12716370406656646</v>
      </c>
      <c r="F134" s="22">
        <f t="shared" si="35"/>
        <v>1.8262963116454401E-4</v>
      </c>
      <c r="G134">
        <f t="shared" si="36"/>
        <v>0.1194104952858529</v>
      </c>
      <c r="H134" s="21">
        <v>8.7493023350091001E-2</v>
      </c>
      <c r="I134">
        <f t="shared" si="30"/>
        <v>3.2227465028163822E-2</v>
      </c>
      <c r="J134" s="22">
        <f t="shared" si="37"/>
        <v>8.7493023350091001E-2</v>
      </c>
      <c r="K134">
        <f t="shared" si="38"/>
        <v>3.1713694244242085E-2</v>
      </c>
      <c r="L134">
        <v>2.1612991493864531E-3</v>
      </c>
      <c r="M134">
        <f t="shared" si="31"/>
        <v>3.1713694244242085E-2</v>
      </c>
      <c r="N134">
        <f t="shared" si="39"/>
        <v>8.7493023350091001E-2</v>
      </c>
      <c r="O134">
        <v>1.8262963116454401E-4</v>
      </c>
      <c r="P134">
        <v>8.731039371892646E-2</v>
      </c>
      <c r="Q134">
        <v>0.91250697664990899</v>
      </c>
      <c r="R134">
        <f t="shared" si="32"/>
        <v>1</v>
      </c>
      <c r="S134">
        <f t="shared" si="33"/>
        <v>200</v>
      </c>
      <c r="T134">
        <v>91.675913404872787</v>
      </c>
      <c r="U134">
        <f t="shared" si="40"/>
        <v>293.16735484224716</v>
      </c>
      <c r="V134">
        <f t="shared" si="34"/>
        <v>4.37465116750455E-2</v>
      </c>
      <c r="W134">
        <f t="shared" ref="W134:W197" si="41">(V133+V134)/2</f>
        <v>4.4462913160467576E-2</v>
      </c>
    </row>
    <row r="135" spans="1:23">
      <c r="A135" s="2">
        <v>132</v>
      </c>
      <c r="B135" s="2">
        <v>76</v>
      </c>
      <c r="C135">
        <f t="shared" si="28"/>
        <v>0.68494571372924873</v>
      </c>
      <c r="D135" s="21">
        <v>1.6079049294526299E-4</v>
      </c>
      <c r="E135">
        <f t="shared" si="29"/>
        <v>0.12735799710204521</v>
      </c>
      <c r="F135" s="22">
        <f t="shared" si="35"/>
        <v>1.6079049294526299E-4</v>
      </c>
      <c r="G135">
        <f t="shared" si="36"/>
        <v>0.11958157107377931</v>
      </c>
      <c r="H135" s="21">
        <v>8.4716211404954E-2</v>
      </c>
      <c r="I135">
        <f t="shared" si="30"/>
        <v>3.225207576579342E-2</v>
      </c>
      <c r="J135" s="22">
        <f t="shared" si="37"/>
        <v>8.4716211404954E-2</v>
      </c>
      <c r="K135">
        <f t="shared" si="38"/>
        <v>3.1737524191225885E-2</v>
      </c>
      <c r="L135">
        <v>2.4030919633175607E-3</v>
      </c>
      <c r="M135">
        <f t="shared" si="31"/>
        <v>3.1737524191225885E-2</v>
      </c>
      <c r="N135">
        <f t="shared" si="39"/>
        <v>8.4716211404954E-2</v>
      </c>
      <c r="O135">
        <v>1.6079049294526299E-4</v>
      </c>
      <c r="P135">
        <v>8.4555420912008739E-2</v>
      </c>
      <c r="Q135">
        <v>0.915283788595046</v>
      </c>
      <c r="R135">
        <f t="shared" si="32"/>
        <v>1</v>
      </c>
      <c r="S135">
        <f t="shared" si="33"/>
        <v>200</v>
      </c>
      <c r="T135">
        <v>88.783191957609176</v>
      </c>
      <c r="U135">
        <f t="shared" si="40"/>
        <v>290.22955268124099</v>
      </c>
      <c r="V135">
        <f t="shared" si="34"/>
        <v>4.2358105702477E-2</v>
      </c>
      <c r="W135">
        <f t="shared" si="41"/>
        <v>4.3052308688761254E-2</v>
      </c>
    </row>
    <row r="136" spans="1:23">
      <c r="A136" s="2">
        <v>133</v>
      </c>
      <c r="B136" s="2">
        <v>76.083333300000007</v>
      </c>
      <c r="C136">
        <f t="shared" si="28"/>
        <v>0.68298493315949249</v>
      </c>
      <c r="D136" s="21">
        <v>1.41535577961159E-4</v>
      </c>
      <c r="E136">
        <f t="shared" si="29"/>
        <v>0.1275511116888188</v>
      </c>
      <c r="F136" s="22">
        <f t="shared" si="35"/>
        <v>1.41535577961159E-4</v>
      </c>
      <c r="G136">
        <f t="shared" si="36"/>
        <v>0.1197515762990965</v>
      </c>
      <c r="H136" s="21">
        <v>8.2025523632358002E-2</v>
      </c>
      <c r="I136">
        <f t="shared" si="30"/>
        <v>3.2276518636134767E-2</v>
      </c>
      <c r="J136" s="22">
        <f t="shared" si="37"/>
        <v>8.2025523632358002E-2</v>
      </c>
      <c r="K136">
        <f t="shared" si="38"/>
        <v>3.1761191016134727E-2</v>
      </c>
      <c r="L136">
        <v>2.4030919633175607E-3</v>
      </c>
      <c r="M136">
        <f t="shared" si="31"/>
        <v>3.1761191016134727E-2</v>
      </c>
      <c r="N136">
        <f t="shared" si="39"/>
        <v>8.2025523632358002E-2</v>
      </c>
      <c r="O136">
        <v>1.41535577961159E-4</v>
      </c>
      <c r="P136">
        <v>8.1883988054396839E-2</v>
      </c>
      <c r="Q136">
        <v>0.91797447636764196</v>
      </c>
      <c r="R136">
        <f t="shared" si="32"/>
        <v>1</v>
      </c>
      <c r="S136">
        <f t="shared" si="33"/>
        <v>200</v>
      </c>
      <c r="T136">
        <v>85.978187457116675</v>
      </c>
      <c r="U136">
        <f t="shared" si="40"/>
        <v>287.38068970736293</v>
      </c>
      <c r="V136">
        <f t="shared" si="34"/>
        <v>4.1012761816179001E-2</v>
      </c>
      <c r="W136">
        <f t="shared" si="41"/>
        <v>4.1685433759327997E-2</v>
      </c>
    </row>
    <row r="137" spans="1:23">
      <c r="A137" s="2">
        <v>134</v>
      </c>
      <c r="B137" s="2">
        <v>76.166666699999993</v>
      </c>
      <c r="C137">
        <f t="shared" si="28"/>
        <v>0.68102976567755569</v>
      </c>
      <c r="D137" s="21">
        <v>1.24562557058628E-4</v>
      </c>
      <c r="E137">
        <f t="shared" si="29"/>
        <v>0.12774306378826755</v>
      </c>
      <c r="F137" s="22">
        <f t="shared" si="35"/>
        <v>1.24562557058628E-4</v>
      </c>
      <c r="G137">
        <f t="shared" si="36"/>
        <v>0.1199205256164555</v>
      </c>
      <c r="H137" s="21">
        <v>7.9418367213030194E-2</v>
      </c>
      <c r="I137">
        <f t="shared" si="30"/>
        <v>3.2300796038267236E-2</v>
      </c>
      <c r="J137" s="22">
        <f t="shared" si="37"/>
        <v>7.9418367213030194E-2</v>
      </c>
      <c r="K137">
        <f t="shared" si="38"/>
        <v>3.1784697053726774E-2</v>
      </c>
      <c r="L137">
        <v>2.4030919633175607E-3</v>
      </c>
      <c r="M137">
        <f t="shared" si="31"/>
        <v>3.1784697053726774E-2</v>
      </c>
      <c r="N137">
        <f t="shared" si="39"/>
        <v>7.9418367213030194E-2</v>
      </c>
      <c r="O137">
        <v>1.24562557058628E-4</v>
      </c>
      <c r="P137">
        <v>7.9293804655971564E-2</v>
      </c>
      <c r="Q137">
        <v>0.92058163278696981</v>
      </c>
      <c r="R137">
        <f t="shared" si="32"/>
        <v>1</v>
      </c>
      <c r="S137">
        <f t="shared" si="33"/>
        <v>200</v>
      </c>
      <c r="T137">
        <v>83.258494888770144</v>
      </c>
      <c r="U137">
        <f t="shared" si="40"/>
        <v>284.61834117294342</v>
      </c>
      <c r="V137">
        <f t="shared" si="34"/>
        <v>3.9709183606515097E-2</v>
      </c>
      <c r="W137">
        <f t="shared" si="41"/>
        <v>4.0360972711347046E-2</v>
      </c>
    </row>
    <row r="138" spans="1:23">
      <c r="A138" s="2">
        <v>135</v>
      </c>
      <c r="B138" s="2">
        <v>76.25</v>
      </c>
      <c r="C138">
        <f t="shared" si="28"/>
        <v>0.67908019521496277</v>
      </c>
      <c r="D138" s="21">
        <v>1.09604034724621E-4</v>
      </c>
      <c r="E138">
        <f t="shared" si="29"/>
        <v>0.12793386902801049</v>
      </c>
      <c r="F138" s="22">
        <f t="shared" si="35"/>
        <v>1.09604034724621E-4</v>
      </c>
      <c r="G138">
        <f t="shared" si="36"/>
        <v>0.12008843337220887</v>
      </c>
      <c r="H138" s="21">
        <v>7.68922242475992E-2</v>
      </c>
      <c r="I138">
        <f t="shared" si="30"/>
        <v>3.2324910319324968E-2</v>
      </c>
      <c r="J138" s="22">
        <f t="shared" si="37"/>
        <v>7.68922242475992E-2</v>
      </c>
      <c r="K138">
        <f t="shared" si="38"/>
        <v>3.1808044588160778E-2</v>
      </c>
      <c r="L138">
        <v>2.4030919633175607E-3</v>
      </c>
      <c r="M138">
        <f t="shared" si="31"/>
        <v>3.1808044588160778E-2</v>
      </c>
      <c r="N138">
        <f t="shared" si="39"/>
        <v>7.68922242475992E-2</v>
      </c>
      <c r="O138">
        <v>1.09604034724621E-4</v>
      </c>
      <c r="P138">
        <v>7.6782620212874575E-2</v>
      </c>
      <c r="Q138">
        <v>0.92310777575240077</v>
      </c>
      <c r="R138">
        <f t="shared" si="32"/>
        <v>1</v>
      </c>
      <c r="S138">
        <f t="shared" si="33"/>
        <v>200</v>
      </c>
      <c r="T138">
        <v>80.621751223518302</v>
      </c>
      <c r="U138">
        <f t="shared" si="40"/>
        <v>281.94012305614422</v>
      </c>
      <c r="V138">
        <f t="shared" si="34"/>
        <v>3.84461121237996E-2</v>
      </c>
      <c r="W138">
        <f t="shared" si="41"/>
        <v>3.9077647865157349E-2</v>
      </c>
    </row>
    <row r="139" spans="1:23">
      <c r="A139" s="2">
        <v>136</v>
      </c>
      <c r="B139" s="2">
        <v>76.333333300000007</v>
      </c>
      <c r="C139">
        <f t="shared" si="28"/>
        <v>0.67713620574923694</v>
      </c>
      <c r="D139" s="21">
        <v>9.6423567155549394E-5</v>
      </c>
      <c r="E139">
        <f t="shared" si="29"/>
        <v>0.12812354271128409</v>
      </c>
      <c r="F139" s="22">
        <f t="shared" si="35"/>
        <v>9.6423567155549394E-5</v>
      </c>
      <c r="G139">
        <f t="shared" si="36"/>
        <v>0.12025531361311093</v>
      </c>
      <c r="H139" s="21">
        <v>7.4444649722199996E-2</v>
      </c>
      <c r="I139">
        <f t="shared" si="30"/>
        <v>3.2348863775996668E-2</v>
      </c>
      <c r="J139" s="22">
        <f t="shared" si="37"/>
        <v>7.4444649722199996E-2</v>
      </c>
      <c r="K139">
        <f t="shared" si="38"/>
        <v>3.1831235854458018E-2</v>
      </c>
      <c r="L139">
        <v>2.4030919633175607E-3</v>
      </c>
      <c r="M139">
        <f t="shared" si="31"/>
        <v>3.1831235854458018E-2</v>
      </c>
      <c r="N139">
        <f t="shared" si="39"/>
        <v>7.4444649722199996E-2</v>
      </c>
      <c r="O139">
        <v>9.6423567155549394E-5</v>
      </c>
      <c r="P139">
        <v>7.4348226155044453E-2</v>
      </c>
      <c r="Q139">
        <v>0.9255553502778</v>
      </c>
      <c r="R139">
        <f t="shared" si="32"/>
        <v>1</v>
      </c>
      <c r="S139">
        <f t="shared" si="33"/>
        <v>200</v>
      </c>
      <c r="T139">
        <v>78.065637462796673</v>
      </c>
      <c r="U139">
        <f t="shared" si="40"/>
        <v>279.34369434315749</v>
      </c>
      <c r="V139">
        <f t="shared" si="34"/>
        <v>3.7222324861099998E-2</v>
      </c>
      <c r="W139">
        <f t="shared" si="41"/>
        <v>3.7834218492449799E-2</v>
      </c>
    </row>
    <row r="140" spans="1:23">
      <c r="A140" s="2">
        <v>137</v>
      </c>
      <c r="B140" s="2">
        <v>76.416666699999993</v>
      </c>
      <c r="C140">
        <f t="shared" si="28"/>
        <v>0.67519778130376851</v>
      </c>
      <c r="D140" s="21">
        <v>8.48121274097355E-5</v>
      </c>
      <c r="E140">
        <f t="shared" si="29"/>
        <v>0.12831209982600331</v>
      </c>
      <c r="F140" s="22">
        <f t="shared" si="35"/>
        <v>8.48121274097355E-5</v>
      </c>
      <c r="G140">
        <f t="shared" si="36"/>
        <v>0.12042118009472158</v>
      </c>
      <c r="H140" s="21">
        <v>7.2073269523587405E-2</v>
      </c>
      <c r="I140">
        <f t="shared" si="30"/>
        <v>3.2372658655986056E-2</v>
      </c>
      <c r="J140" s="22">
        <f t="shared" si="37"/>
        <v>7.2073269523587405E-2</v>
      </c>
      <c r="K140">
        <f t="shared" si="38"/>
        <v>3.1854273039925718E-2</v>
      </c>
      <c r="L140">
        <v>2.4030919633175607E-3</v>
      </c>
      <c r="M140">
        <f t="shared" si="31"/>
        <v>3.1854273039925718E-2</v>
      </c>
      <c r="N140">
        <f t="shared" si="39"/>
        <v>7.2073269523587405E-2</v>
      </c>
      <c r="O140">
        <v>8.48121274097355E-5</v>
      </c>
      <c r="P140">
        <v>7.1988457396177666E-2</v>
      </c>
      <c r="Q140">
        <v>0.92792673047641261</v>
      </c>
      <c r="R140">
        <f t="shared" si="32"/>
        <v>1</v>
      </c>
      <c r="S140">
        <f t="shared" si="33"/>
        <v>200</v>
      </c>
      <c r="T140">
        <v>75.587880265986556</v>
      </c>
      <c r="U140">
        <f t="shared" si="40"/>
        <v>276.82675886439159</v>
      </c>
      <c r="V140">
        <f t="shared" si="34"/>
        <v>3.6036634761793702E-2</v>
      </c>
      <c r="W140">
        <f t="shared" si="41"/>
        <v>3.6629479811446847E-2</v>
      </c>
    </row>
    <row r="141" spans="1:23">
      <c r="A141" s="2">
        <v>138</v>
      </c>
      <c r="B141" s="2">
        <v>76.5</v>
      </c>
      <c r="C141">
        <f t="shared" si="28"/>
        <v>0.67326490594768418</v>
      </c>
      <c r="D141" s="21">
        <v>7.45849682879904E-5</v>
      </c>
      <c r="E141">
        <f t="shared" si="29"/>
        <v>0.12849955505353866</v>
      </c>
      <c r="F141" s="22">
        <f t="shared" si="35"/>
        <v>7.45849682879904E-5</v>
      </c>
      <c r="G141">
        <f t="shared" si="36"/>
        <v>0.12058604628954439</v>
      </c>
      <c r="H141" s="21">
        <v>6.9775778502830302E-2</v>
      </c>
      <c r="I141">
        <f t="shared" si="30"/>
        <v>3.2396297159392504E-2</v>
      </c>
      <c r="J141" s="22">
        <f t="shared" si="37"/>
        <v>6.9775778502830302E-2</v>
      </c>
      <c r="K141">
        <f t="shared" si="38"/>
        <v>3.187715828550286E-2</v>
      </c>
      <c r="L141">
        <v>2.4030919633175607E-3</v>
      </c>
      <c r="M141">
        <f t="shared" si="31"/>
        <v>3.187715828550286E-2</v>
      </c>
      <c r="N141">
        <f t="shared" si="39"/>
        <v>6.9775778502830302E-2</v>
      </c>
      <c r="O141">
        <v>7.45849682879904E-5</v>
      </c>
      <c r="P141">
        <v>6.9701193534542308E-2</v>
      </c>
      <c r="Q141">
        <v>0.93022422149716966</v>
      </c>
      <c r="R141">
        <f t="shared" si="32"/>
        <v>1</v>
      </c>
      <c r="S141">
        <f t="shared" si="33"/>
        <v>200</v>
      </c>
      <c r="T141">
        <v>73.186253211269417</v>
      </c>
      <c r="U141">
        <f t="shared" si="40"/>
        <v>274.38706673862799</v>
      </c>
      <c r="V141">
        <f t="shared" si="34"/>
        <v>3.4887889251415151E-2</v>
      </c>
      <c r="W141">
        <f t="shared" si="41"/>
        <v>3.5462262006604427E-2</v>
      </c>
    </row>
    <row r="142" spans="1:23">
      <c r="A142" s="2">
        <v>139</v>
      </c>
      <c r="B142" s="2">
        <v>76.583333300000007</v>
      </c>
      <c r="C142">
        <f t="shared" si="28"/>
        <v>0.67133756379571508</v>
      </c>
      <c r="D142" s="21">
        <v>6.5578838931639098E-5</v>
      </c>
      <c r="E142">
        <f t="shared" si="29"/>
        <v>0.12868592277714114</v>
      </c>
      <c r="F142" s="22">
        <f t="shared" si="35"/>
        <v>6.5578838931639098E-5</v>
      </c>
      <c r="G142">
        <f t="shared" si="36"/>
        <v>0.12074992539483942</v>
      </c>
      <c r="H142" s="21">
        <v>6.7549938586656699E-2</v>
      </c>
      <c r="I142">
        <f t="shared" si="30"/>
        <v>3.2419781440066242E-2</v>
      </c>
      <c r="J142" s="22">
        <f t="shared" si="37"/>
        <v>6.7549938586656699E-2</v>
      </c>
      <c r="K142">
        <f t="shared" si="38"/>
        <v>3.1899893687081016E-2</v>
      </c>
      <c r="L142">
        <v>2.4030919633175607E-3</v>
      </c>
      <c r="M142">
        <f t="shared" si="31"/>
        <v>3.1899893687081016E-2</v>
      </c>
      <c r="N142">
        <f t="shared" si="39"/>
        <v>6.7549938586656699E-2</v>
      </c>
      <c r="O142">
        <v>6.5578838931639098E-5</v>
      </c>
      <c r="P142">
        <v>6.7484359747725056E-2</v>
      </c>
      <c r="Q142">
        <v>0.9324500614133433</v>
      </c>
      <c r="R142">
        <f t="shared" si="32"/>
        <v>1</v>
      </c>
      <c r="S142">
        <f t="shared" si="33"/>
        <v>200</v>
      </c>
      <c r="T142">
        <v>70.858577735111311</v>
      </c>
      <c r="U142">
        <f t="shared" si="40"/>
        <v>272.02241547319039</v>
      </c>
      <c r="V142">
        <f t="shared" si="34"/>
        <v>3.377496929332835E-2</v>
      </c>
      <c r="W142">
        <f t="shared" si="41"/>
        <v>3.4331429272371747E-2</v>
      </c>
    </row>
    <row r="143" spans="1:23">
      <c r="A143" s="2">
        <v>140</v>
      </c>
      <c r="B143" s="2">
        <v>76.666666699999993</v>
      </c>
      <c r="C143">
        <f t="shared" si="28"/>
        <v>0.66941573900806706</v>
      </c>
      <c r="D143" s="21">
        <v>5.7649515905990498E-5</v>
      </c>
      <c r="E143">
        <f t="shared" si="29"/>
        <v>0.12887121709011584</v>
      </c>
      <c r="F143" s="22">
        <f t="shared" si="35"/>
        <v>5.7649515905990498E-5</v>
      </c>
      <c r="G143">
        <f t="shared" si="36"/>
        <v>0.12091283034020028</v>
      </c>
      <c r="H143" s="21">
        <v>6.5393576935526401E-2</v>
      </c>
      <c r="I143">
        <f t="shared" si="30"/>
        <v>3.2443113606903683E-2</v>
      </c>
      <c r="J143" s="22">
        <f t="shared" si="37"/>
        <v>6.5393576935526401E-2</v>
      </c>
      <c r="K143">
        <f t="shared" si="38"/>
        <v>3.1922481296766891E-2</v>
      </c>
      <c r="L143">
        <v>2.4030919633175607E-3</v>
      </c>
      <c r="M143">
        <f t="shared" si="31"/>
        <v>3.1922481296766891E-2</v>
      </c>
      <c r="N143">
        <f t="shared" si="39"/>
        <v>6.5393576935526401E-2</v>
      </c>
      <c r="O143">
        <v>5.7649515905990498E-5</v>
      </c>
      <c r="P143">
        <v>6.533592741962041E-2</v>
      </c>
      <c r="Q143">
        <v>0.93460642306447361</v>
      </c>
      <c r="R143">
        <f t="shared" si="32"/>
        <v>1</v>
      </c>
      <c r="S143">
        <f t="shared" si="33"/>
        <v>200</v>
      </c>
      <c r="T143">
        <v>68.602723790601431</v>
      </c>
      <c r="U143">
        <f t="shared" si="40"/>
        <v>269.73065076285638</v>
      </c>
      <c r="V143">
        <f t="shared" si="34"/>
        <v>3.2696788467763201E-2</v>
      </c>
      <c r="W143">
        <f t="shared" si="41"/>
        <v>3.3235878880545772E-2</v>
      </c>
    </row>
    <row r="144" spans="1:23">
      <c r="A144" s="2">
        <v>141</v>
      </c>
      <c r="B144" s="2">
        <v>76.75</v>
      </c>
      <c r="C144">
        <f t="shared" si="28"/>
        <v>0.66749941579029026</v>
      </c>
      <c r="D144" s="21">
        <v>5.0669613808290598E-5</v>
      </c>
      <c r="E144">
        <f t="shared" si="29"/>
        <v>0.12905545180368203</v>
      </c>
      <c r="F144" s="22">
        <f t="shared" si="35"/>
        <v>5.0669613808290598E-5</v>
      </c>
      <c r="G144">
        <f t="shared" si="36"/>
        <v>0.12107477379484122</v>
      </c>
      <c r="H144" s="21">
        <v>6.3304584147511403E-2</v>
      </c>
      <c r="I144">
        <f t="shared" si="30"/>
        <v>3.2466295725091875E-2</v>
      </c>
      <c r="J144" s="22">
        <f t="shared" si="37"/>
        <v>6.3304584147511403E-2</v>
      </c>
      <c r="K144">
        <f t="shared" si="38"/>
        <v>3.1944923124095248E-2</v>
      </c>
      <c r="L144">
        <v>2.4030919633175607E-3</v>
      </c>
      <c r="M144">
        <f t="shared" si="31"/>
        <v>3.1944923124095248E-2</v>
      </c>
      <c r="N144">
        <f t="shared" si="39"/>
        <v>6.3304584147511403E-2</v>
      </c>
      <c r="O144">
        <v>5.0669613808290598E-5</v>
      </c>
      <c r="P144">
        <v>6.3253914533703118E-2</v>
      </c>
      <c r="Q144">
        <v>0.93669541585248861</v>
      </c>
      <c r="R144">
        <f t="shared" si="32"/>
        <v>1</v>
      </c>
      <c r="S144">
        <f t="shared" si="33"/>
        <v>200</v>
      </c>
      <c r="T144">
        <v>66.416610260388268</v>
      </c>
      <c r="U144">
        <f t="shared" si="40"/>
        <v>267.50966702549488</v>
      </c>
      <c r="V144">
        <f t="shared" si="34"/>
        <v>3.1652292073755701E-2</v>
      </c>
      <c r="W144">
        <f t="shared" si="41"/>
        <v>3.2174540270759451E-2</v>
      </c>
    </row>
    <row r="145" spans="1:23">
      <c r="A145" s="2">
        <v>142</v>
      </c>
      <c r="B145" s="2">
        <v>76.833333300000007</v>
      </c>
      <c r="C145">
        <f t="shared" si="28"/>
        <v>0.66558857839314933</v>
      </c>
      <c r="D145" s="21">
        <v>4.4526644255129097E-5</v>
      </c>
      <c r="E145">
        <f t="shared" si="29"/>
        <v>0.12923864045459429</v>
      </c>
      <c r="F145" s="22">
        <f t="shared" si="35"/>
        <v>4.4526644255129097E-5</v>
      </c>
      <c r="G145">
        <f t="shared" si="36"/>
        <v>0.12123576817466064</v>
      </c>
      <c r="H145" s="21">
        <v>6.1280912507067402E-2</v>
      </c>
      <c r="I145">
        <f t="shared" si="30"/>
        <v>3.2489329817342989E-2</v>
      </c>
      <c r="J145" s="22">
        <f t="shared" si="37"/>
        <v>6.1280912507067402E-2</v>
      </c>
      <c r="K145">
        <f t="shared" si="38"/>
        <v>3.1967221137231938E-2</v>
      </c>
      <c r="L145">
        <v>2.4030919633175607E-3</v>
      </c>
      <c r="M145">
        <f t="shared" si="31"/>
        <v>3.1967221137231938E-2</v>
      </c>
      <c r="N145">
        <f t="shared" si="39"/>
        <v>6.1280912507067402E-2</v>
      </c>
      <c r="O145">
        <v>4.4526644255129097E-5</v>
      </c>
      <c r="P145">
        <v>6.123638586281227E-2</v>
      </c>
      <c r="Q145">
        <v>0.93871908749293265</v>
      </c>
      <c r="R145">
        <f t="shared" si="32"/>
        <v>1</v>
      </c>
      <c r="S145">
        <f t="shared" si="33"/>
        <v>200</v>
      </c>
      <c r="T145">
        <v>64.298205155952886</v>
      </c>
      <c r="U145">
        <f t="shared" si="40"/>
        <v>265.35740770817057</v>
      </c>
      <c r="V145">
        <f t="shared" si="34"/>
        <v>3.0640456253533701E-2</v>
      </c>
      <c r="W145">
        <f t="shared" si="41"/>
        <v>3.1146374163644699E-2</v>
      </c>
    </row>
    <row r="146" spans="1:23">
      <c r="A146" s="2">
        <v>143</v>
      </c>
      <c r="B146" s="2">
        <v>76.916666699999993</v>
      </c>
      <c r="C146">
        <f t="shared" si="28"/>
        <v>0.66368321111249373</v>
      </c>
      <c r="D146" s="21">
        <v>3.9121295512396299E-5</v>
      </c>
      <c r="E146">
        <f t="shared" si="29"/>
        <v>0.12942079631248563</v>
      </c>
      <c r="F146" s="22">
        <f t="shared" si="35"/>
        <v>3.9121295512396299E-5</v>
      </c>
      <c r="G146">
        <f t="shared" si="36"/>
        <v>0.12139582564904716</v>
      </c>
      <c r="H146" s="21">
        <v>5.9320574277792103E-2</v>
      </c>
      <c r="I146">
        <f t="shared" si="30"/>
        <v>3.2512217865022987E-2</v>
      </c>
      <c r="J146" s="22">
        <f t="shared" si="37"/>
        <v>5.9320574277792103E-2</v>
      </c>
      <c r="K146">
        <f t="shared" si="38"/>
        <v>3.1989377264074137E-2</v>
      </c>
      <c r="L146">
        <v>2.4030919633175607E-3</v>
      </c>
      <c r="M146">
        <f t="shared" si="31"/>
        <v>3.1989377264074137E-2</v>
      </c>
      <c r="N146">
        <f t="shared" si="39"/>
        <v>5.9320574277792103E-2</v>
      </c>
      <c r="O146">
        <v>3.9121295512396299E-5</v>
      </c>
      <c r="P146">
        <v>5.9281452982279707E-2</v>
      </c>
      <c r="Q146">
        <v>0.94067942572220786</v>
      </c>
      <c r="R146">
        <f t="shared" si="32"/>
        <v>1</v>
      </c>
      <c r="S146">
        <f t="shared" si="33"/>
        <v>200</v>
      </c>
      <c r="T146">
        <v>62.24552563139369</v>
      </c>
      <c r="U146">
        <f t="shared" si="40"/>
        <v>263.27186539367329</v>
      </c>
      <c r="V146">
        <f t="shared" si="34"/>
        <v>2.9660287138896051E-2</v>
      </c>
      <c r="W146">
        <f t="shared" si="41"/>
        <v>3.0150371696214876E-2</v>
      </c>
    </row>
    <row r="147" spans="1:23">
      <c r="A147" s="2">
        <v>144</v>
      </c>
      <c r="B147" s="2">
        <v>77</v>
      </c>
      <c r="C147">
        <f t="shared" si="28"/>
        <v>0.6617832982891293</v>
      </c>
      <c r="D147" s="21">
        <v>3.4365908073712098E-5</v>
      </c>
      <c r="E147">
        <f t="shared" si="29"/>
        <v>0.12960193238698151</v>
      </c>
      <c r="F147" s="22">
        <f t="shared" si="35"/>
        <v>3.4365908073712098E-5</v>
      </c>
      <c r="G147">
        <f t="shared" si="36"/>
        <v>0.12155495814747164</v>
      </c>
      <c r="H147" s="21">
        <v>5.7421640038263999E-2</v>
      </c>
      <c r="I147">
        <f t="shared" si="30"/>
        <v>3.2534961809319272E-2</v>
      </c>
      <c r="J147" s="22">
        <f t="shared" si="37"/>
        <v>5.7421640038263999E-2</v>
      </c>
      <c r="K147">
        <f t="shared" si="38"/>
        <v>3.2011393393388099E-2</v>
      </c>
      <c r="L147">
        <v>2.6763805438883015E-3</v>
      </c>
      <c r="M147">
        <f t="shared" si="31"/>
        <v>3.2011393393388099E-2</v>
      </c>
      <c r="N147">
        <f t="shared" si="39"/>
        <v>5.7421640038263999E-2</v>
      </c>
      <c r="O147">
        <v>3.4365908073712098E-5</v>
      </c>
      <c r="P147">
        <v>5.7387274130190284E-2</v>
      </c>
      <c r="Q147">
        <v>0.942578359961736</v>
      </c>
      <c r="R147">
        <f t="shared" si="32"/>
        <v>1</v>
      </c>
      <c r="S147">
        <f t="shared" si="33"/>
        <v>200</v>
      </c>
      <c r="T147">
        <v>60.256637836699795</v>
      </c>
      <c r="U147">
        <f t="shared" si="40"/>
        <v>261.25108173404675</v>
      </c>
      <c r="V147">
        <f t="shared" si="34"/>
        <v>2.8710820019132E-2</v>
      </c>
      <c r="W147">
        <f t="shared" si="41"/>
        <v>2.9185553579014027E-2</v>
      </c>
    </row>
    <row r="148" spans="1:23">
      <c r="A148" s="2">
        <v>145</v>
      </c>
      <c r="B148" s="2">
        <v>77.083333300000007</v>
      </c>
      <c r="C148">
        <f t="shared" si="28"/>
        <v>0.65988882430868834</v>
      </c>
      <c r="D148" s="21">
        <v>3.01831242089985E-5</v>
      </c>
      <c r="E148">
        <f t="shared" si="29"/>
        <v>0.12978206143454604</v>
      </c>
      <c r="F148" s="22">
        <f t="shared" si="35"/>
        <v>3.01831242089985E-5</v>
      </c>
      <c r="G148">
        <f t="shared" si="36"/>
        <v>0.12171317736583198</v>
      </c>
      <c r="H148" s="21">
        <v>5.5582237060072599E-2</v>
      </c>
      <c r="I148">
        <f t="shared" si="30"/>
        <v>3.2557563552296297E-2</v>
      </c>
      <c r="J148" s="22">
        <f t="shared" si="37"/>
        <v>5.5582237060072599E-2</v>
      </c>
      <c r="K148">
        <f t="shared" si="38"/>
        <v>3.2033271375838113E-2</v>
      </c>
      <c r="L148">
        <v>2.6763805438883015E-3</v>
      </c>
      <c r="M148">
        <f t="shared" si="31"/>
        <v>3.2033271375838113E-2</v>
      </c>
      <c r="N148">
        <f t="shared" si="39"/>
        <v>5.5582237060072599E-2</v>
      </c>
      <c r="O148">
        <v>3.01831242089985E-5</v>
      </c>
      <c r="P148">
        <v>5.5552053935863599E-2</v>
      </c>
      <c r="Q148">
        <v>0.94441776293992741</v>
      </c>
      <c r="R148">
        <f t="shared" si="32"/>
        <v>1</v>
      </c>
      <c r="S148">
        <f t="shared" si="33"/>
        <v>200</v>
      </c>
      <c r="T148">
        <v>58.329656632656778</v>
      </c>
      <c r="U148">
        <f t="shared" si="40"/>
        <v>259.29314723467832</v>
      </c>
      <c r="V148">
        <f t="shared" si="34"/>
        <v>2.77911185300363E-2</v>
      </c>
      <c r="W148">
        <f t="shared" si="41"/>
        <v>2.8250969274584148E-2</v>
      </c>
    </row>
    <row r="149" spans="1:23">
      <c r="A149" s="2">
        <v>146</v>
      </c>
      <c r="B149" s="2">
        <v>77.166666699999993</v>
      </c>
      <c r="C149">
        <f t="shared" si="28"/>
        <v>0.65799977360150319</v>
      </c>
      <c r="D149" s="21">
        <v>2.6504691927864701E-5</v>
      </c>
      <c r="E149">
        <f t="shared" si="29"/>
        <v>0.12996119596512798</v>
      </c>
      <c r="F149" s="22">
        <f t="shared" si="35"/>
        <v>2.6504691927864701E-5</v>
      </c>
      <c r="G149">
        <f t="shared" si="36"/>
        <v>0.12187049477261025</v>
      </c>
      <c r="H149" s="21">
        <v>5.38005477271511E-2</v>
      </c>
      <c r="I149">
        <f t="shared" si="30"/>
        <v>3.2580024957976968E-2</v>
      </c>
      <c r="J149" s="22">
        <f t="shared" si="37"/>
        <v>5.38005477271511E-2</v>
      </c>
      <c r="K149">
        <f t="shared" si="38"/>
        <v>3.2055013025040213E-2</v>
      </c>
      <c r="L149">
        <v>2.6763805438883015E-3</v>
      </c>
      <c r="M149">
        <f t="shared" si="31"/>
        <v>3.2055013025040213E-2</v>
      </c>
      <c r="N149">
        <f t="shared" si="39"/>
        <v>5.38005477271511E-2</v>
      </c>
      <c r="O149">
        <v>2.6504691927864701E-5</v>
      </c>
      <c r="P149">
        <v>5.3774043035223235E-2</v>
      </c>
      <c r="Q149">
        <v>0.94619945227284885</v>
      </c>
      <c r="R149">
        <f t="shared" si="32"/>
        <v>1</v>
      </c>
      <c r="S149">
        <f t="shared" si="33"/>
        <v>200</v>
      </c>
      <c r="T149">
        <v>56.462745186984399</v>
      </c>
      <c r="U149">
        <f t="shared" si="40"/>
        <v>257.39620090982061</v>
      </c>
      <c r="V149">
        <f t="shared" si="34"/>
        <v>2.690027386357555E-2</v>
      </c>
      <c r="W149">
        <f t="shared" si="41"/>
        <v>2.7345696196805925E-2</v>
      </c>
    </row>
    <row r="150" spans="1:23">
      <c r="A150" s="2">
        <v>147</v>
      </c>
      <c r="B150" s="2">
        <v>77.25</v>
      </c>
      <c r="C150">
        <f t="shared" si="28"/>
        <v>0.6561161306424762</v>
      </c>
      <c r="D150" s="21">
        <v>2.3270405963557302E-5</v>
      </c>
      <c r="E150">
        <f t="shared" si="29"/>
        <v>0.13013934824861889</v>
      </c>
      <c r="F150" s="22">
        <f t="shared" si="35"/>
        <v>2.3270405963557302E-5</v>
      </c>
      <c r="G150">
        <f t="shared" si="36"/>
        <v>0.12202692161485396</v>
      </c>
      <c r="H150" s="21">
        <v>5.2074807995538597E-2</v>
      </c>
      <c r="I150">
        <f t="shared" si="30"/>
        <v>3.2602347853332436E-2</v>
      </c>
      <c r="J150" s="22">
        <f t="shared" si="37"/>
        <v>5.2074807995538597E-2</v>
      </c>
      <c r="K150">
        <f t="shared" si="38"/>
        <v>3.2076620118526966E-2</v>
      </c>
      <c r="L150">
        <v>2.6763805438883015E-3</v>
      </c>
      <c r="M150">
        <f t="shared" si="31"/>
        <v>3.2076620118526966E-2</v>
      </c>
      <c r="N150">
        <f t="shared" si="39"/>
        <v>5.2074807995538597E-2</v>
      </c>
      <c r="O150">
        <v>2.3270405963557302E-5</v>
      </c>
      <c r="P150">
        <v>5.2051537589575037E-2</v>
      </c>
      <c r="Q150">
        <v>0.94792519200446135</v>
      </c>
      <c r="R150">
        <f t="shared" si="32"/>
        <v>1</v>
      </c>
      <c r="S150">
        <f t="shared" si="33"/>
        <v>200</v>
      </c>
      <c r="T150">
        <v>54.654114469053788</v>
      </c>
      <c r="U150">
        <f t="shared" si="40"/>
        <v>255.55842982801909</v>
      </c>
      <c r="V150">
        <f t="shared" si="34"/>
        <v>2.6037403997769298E-2</v>
      </c>
      <c r="W150">
        <f t="shared" si="41"/>
        <v>2.6468838930672423E-2</v>
      </c>
    </row>
    <row r="151" spans="1:23">
      <c r="A151" s="2">
        <v>148</v>
      </c>
      <c r="B151" s="2">
        <v>77.333333300000007</v>
      </c>
      <c r="C151">
        <f t="shared" si="28"/>
        <v>0.65423787995095362</v>
      </c>
      <c r="D151" s="21">
        <v>2.04271703100693E-5</v>
      </c>
      <c r="E151">
        <f t="shared" si="29"/>
        <v>0.13031653032098811</v>
      </c>
      <c r="F151" s="22">
        <f t="shared" si="35"/>
        <v>2.04271703100693E-5</v>
      </c>
      <c r="G151">
        <f t="shared" si="36"/>
        <v>0.12218246892386242</v>
      </c>
      <c r="H151" s="21">
        <v>5.0403305892702199E-2</v>
      </c>
      <c r="I151">
        <f t="shared" si="30"/>
        <v>3.2624534029287784E-2</v>
      </c>
      <c r="J151" s="22">
        <f t="shared" si="37"/>
        <v>5.0403305892702199E-2</v>
      </c>
      <c r="K151">
        <f t="shared" si="38"/>
        <v>3.209809439872735E-2</v>
      </c>
      <c r="L151">
        <v>2.6763805438883015E-3</v>
      </c>
      <c r="M151">
        <f t="shared" si="31"/>
        <v>3.209809439872735E-2</v>
      </c>
      <c r="N151">
        <f t="shared" si="39"/>
        <v>5.0403305892702199E-2</v>
      </c>
      <c r="O151">
        <v>2.04271703100693E-5</v>
      </c>
      <c r="P151">
        <v>5.0382878722392131E-2</v>
      </c>
      <c r="Q151">
        <v>0.94959669410729775</v>
      </c>
      <c r="R151">
        <f t="shared" si="32"/>
        <v>1</v>
      </c>
      <c r="S151">
        <f t="shared" si="33"/>
        <v>200</v>
      </c>
      <c r="T151">
        <v>52.90202265851174</v>
      </c>
      <c r="U151">
        <f t="shared" si="40"/>
        <v>253.77806856378277</v>
      </c>
      <c r="V151">
        <f t="shared" si="34"/>
        <v>2.52016529463511E-2</v>
      </c>
      <c r="W151">
        <f t="shared" si="41"/>
        <v>2.5619528472060199E-2</v>
      </c>
    </row>
    <row r="152" spans="1:23">
      <c r="A152" s="2">
        <v>149</v>
      </c>
      <c r="B152" s="2">
        <v>77.416666699999993</v>
      </c>
      <c r="C152">
        <f t="shared" si="28"/>
        <v>0.65236500609059778</v>
      </c>
      <c r="D152" s="21">
        <v>1.7928168562413199E-5</v>
      </c>
      <c r="E152">
        <f t="shared" si="29"/>
        <v>0.13049275399038202</v>
      </c>
      <c r="F152" s="22">
        <f t="shared" si="35"/>
        <v>1.7928168562413199E-5</v>
      </c>
      <c r="G152">
        <f t="shared" si="36"/>
        <v>0.12233714752083169</v>
      </c>
      <c r="H152" s="21">
        <v>4.8784380055564597E-2</v>
      </c>
      <c r="I152">
        <f t="shared" si="30"/>
        <v>3.264658524165448E-2</v>
      </c>
      <c r="J152" s="22">
        <f t="shared" si="37"/>
        <v>4.8784380055564597E-2</v>
      </c>
      <c r="K152">
        <f t="shared" si="38"/>
        <v>3.2119437573875587E-2</v>
      </c>
      <c r="L152">
        <v>2.6763805438883015E-3</v>
      </c>
      <c r="M152">
        <f t="shared" si="31"/>
        <v>3.2119437573875587E-2</v>
      </c>
      <c r="N152">
        <f t="shared" si="39"/>
        <v>4.8784380055564597E-2</v>
      </c>
      <c r="O152">
        <v>1.7928168562413199E-5</v>
      </c>
      <c r="P152">
        <v>4.8766451887002182E-2</v>
      </c>
      <c r="Q152">
        <v>0.95121561994443538</v>
      </c>
      <c r="R152">
        <f t="shared" si="32"/>
        <v>1</v>
      </c>
      <c r="S152">
        <f t="shared" si="33"/>
        <v>200</v>
      </c>
      <c r="T152">
        <v>51.204774481352288</v>
      </c>
      <c r="U152">
        <f t="shared" si="40"/>
        <v>252.053398569932</v>
      </c>
      <c r="V152">
        <f t="shared" si="34"/>
        <v>2.4392190027782298E-2</v>
      </c>
      <c r="W152">
        <f t="shared" si="41"/>
        <v>2.4796921487066699E-2</v>
      </c>
    </row>
    <row r="153" spans="1:23">
      <c r="A153" s="2">
        <v>150</v>
      </c>
      <c r="B153" s="2">
        <v>77.5</v>
      </c>
      <c r="C153">
        <f t="shared" si="28"/>
        <v>0.65049749366926013</v>
      </c>
      <c r="D153" s="21">
        <v>1.5732129840338901E-5</v>
      </c>
      <c r="E153">
        <f t="shared" si="29"/>
        <v>0.13066803084283826</v>
      </c>
      <c r="F153" s="22">
        <f t="shared" si="35"/>
        <v>1.5732129840338901E-5</v>
      </c>
      <c r="G153">
        <f t="shared" si="36"/>
        <v>0.12249096802215154</v>
      </c>
      <c r="H153" s="21">
        <v>4.7216418306388799E-2</v>
      </c>
      <c r="I153">
        <f t="shared" si="30"/>
        <v>3.2668503212067816E-2</v>
      </c>
      <c r="J153" s="22">
        <f t="shared" si="37"/>
        <v>4.7216418306388799E-2</v>
      </c>
      <c r="K153">
        <f t="shared" si="38"/>
        <v>3.2140651318924518E-2</v>
      </c>
      <c r="L153">
        <v>2.6763805438883015E-3</v>
      </c>
      <c r="M153">
        <f t="shared" si="31"/>
        <v>3.2140651318924518E-2</v>
      </c>
      <c r="N153">
        <f t="shared" si="39"/>
        <v>4.7216418306388799E-2</v>
      </c>
      <c r="O153">
        <v>1.5732129840338901E-5</v>
      </c>
      <c r="P153">
        <v>4.7200686176548462E-2</v>
      </c>
      <c r="Q153">
        <v>0.95278358169361121</v>
      </c>
      <c r="R153">
        <f t="shared" si="32"/>
        <v>1</v>
      </c>
      <c r="S153">
        <f t="shared" si="33"/>
        <v>200</v>
      </c>
      <c r="T153">
        <v>49.560720485375882</v>
      </c>
      <c r="U153">
        <f t="shared" si="40"/>
        <v>250.38274748336408</v>
      </c>
      <c r="V153">
        <f t="shared" si="34"/>
        <v>2.36082091531944E-2</v>
      </c>
      <c r="W153">
        <f t="shared" si="41"/>
        <v>2.4000199590488349E-2</v>
      </c>
    </row>
    <row r="154" spans="1:23">
      <c r="A154" s="2">
        <v>151</v>
      </c>
      <c r="B154" s="2">
        <v>77.583333300000007</v>
      </c>
      <c r="C154">
        <f t="shared" si="28"/>
        <v>0.64863532733885498</v>
      </c>
      <c r="D154" s="21">
        <v>1.3802679438839E-5</v>
      </c>
      <c r="E154">
        <f t="shared" si="29"/>
        <v>0.13084237224802542</v>
      </c>
      <c r="F154" s="22">
        <f t="shared" si="35"/>
        <v>1.3802679438839E-5</v>
      </c>
      <c r="G154">
        <f t="shared" si="36"/>
        <v>0.12264394084471508</v>
      </c>
      <c r="H154" s="21">
        <v>4.56978562656866E-2</v>
      </c>
      <c r="I154">
        <f t="shared" si="30"/>
        <v>3.2690289628853071E-2</v>
      </c>
      <c r="J154" s="22">
        <f t="shared" si="37"/>
        <v>4.56978562656866E-2</v>
      </c>
      <c r="K154">
        <f t="shared" si="38"/>
        <v>3.2161737276389823E-2</v>
      </c>
      <c r="L154">
        <v>2.6763805438883015E-3</v>
      </c>
      <c r="M154">
        <f t="shared" si="31"/>
        <v>3.2161737276389823E-2</v>
      </c>
      <c r="N154">
        <f t="shared" si="39"/>
        <v>4.56978562656866E-2</v>
      </c>
      <c r="O154">
        <v>1.3802679438839E-5</v>
      </c>
      <c r="P154">
        <v>4.5684053586247761E-2</v>
      </c>
      <c r="Q154">
        <v>0.95430214373431343</v>
      </c>
      <c r="R154">
        <f t="shared" si="32"/>
        <v>1</v>
      </c>
      <c r="S154">
        <f t="shared" si="33"/>
        <v>200</v>
      </c>
      <c r="T154">
        <v>47.96825626556015</v>
      </c>
      <c r="U154">
        <f t="shared" si="40"/>
        <v>248.76448837546803</v>
      </c>
      <c r="V154">
        <f t="shared" si="34"/>
        <v>2.28489281328433E-2</v>
      </c>
      <c r="W154">
        <f t="shared" si="41"/>
        <v>2.3228568643018851E-2</v>
      </c>
    </row>
    <row r="155" spans="1:23">
      <c r="A155" s="2">
        <v>152</v>
      </c>
      <c r="B155" s="2">
        <v>77.666666699999993</v>
      </c>
      <c r="C155">
        <f t="shared" si="28"/>
        <v>0.64677849179523395</v>
      </c>
      <c r="D155" s="21">
        <v>1.2107764562552899E-5</v>
      </c>
      <c r="E155">
        <f t="shared" si="29"/>
        <v>0.13101578936460265</v>
      </c>
      <c r="F155" s="22">
        <f t="shared" si="35"/>
        <v>1.2107764562552899E-5</v>
      </c>
      <c r="G155">
        <f t="shared" si="36"/>
        <v>0.12279607621088584</v>
      </c>
      <c r="H155" s="21">
        <v>4.4227176001324003E-2</v>
      </c>
      <c r="I155">
        <f t="shared" si="30"/>
        <v>3.2711946147910016E-2</v>
      </c>
      <c r="J155" s="22">
        <f t="shared" si="37"/>
        <v>4.4227176001324003E-2</v>
      </c>
      <c r="K155">
        <f t="shared" si="38"/>
        <v>3.2182697057211773E-2</v>
      </c>
      <c r="L155">
        <v>2.6763805438883015E-3</v>
      </c>
      <c r="M155">
        <f t="shared" si="31"/>
        <v>3.2182697057211773E-2</v>
      </c>
      <c r="N155">
        <f t="shared" si="39"/>
        <v>4.4227176001324003E-2</v>
      </c>
      <c r="O155">
        <v>1.2107764562552899E-5</v>
      </c>
      <c r="P155">
        <v>4.4215068236761454E-2</v>
      </c>
      <c r="Q155">
        <v>0.95577282399867602</v>
      </c>
      <c r="R155">
        <f t="shared" si="32"/>
        <v>1</v>
      </c>
      <c r="S155">
        <f t="shared" si="33"/>
        <v>200</v>
      </c>
      <c r="T155">
        <v>46.425821648599523</v>
      </c>
      <c r="U155">
        <f t="shared" si="40"/>
        <v>247.19703895707985</v>
      </c>
      <c r="V155">
        <f t="shared" si="34"/>
        <v>2.2113588000662002E-2</v>
      </c>
      <c r="W155">
        <f t="shared" si="41"/>
        <v>2.2481258066752649E-2</v>
      </c>
    </row>
    <row r="156" spans="1:23">
      <c r="A156" s="2">
        <v>153</v>
      </c>
      <c r="B156" s="2">
        <v>77.75</v>
      </c>
      <c r="C156">
        <f t="shared" si="28"/>
        <v>0.64492697177805824</v>
      </c>
      <c r="D156" s="21">
        <v>1.06191465816414E-5</v>
      </c>
      <c r="E156">
        <f t="shared" si="29"/>
        <v>0.13118829314555214</v>
      </c>
      <c r="F156" s="22">
        <f t="shared" si="35"/>
        <v>1.06191465816414E-5</v>
      </c>
      <c r="G156">
        <f t="shared" si="36"/>
        <v>0.12294738415343187</v>
      </c>
      <c r="H156" s="21">
        <v>4.2802904713012402E-2</v>
      </c>
      <c r="I156">
        <f t="shared" si="30"/>
        <v>3.2733474393534447E-2</v>
      </c>
      <c r="J156" s="22">
        <f t="shared" si="37"/>
        <v>4.2802904713012402E-2</v>
      </c>
      <c r="K156">
        <f t="shared" si="38"/>
        <v>3.220353224155581E-2</v>
      </c>
      <c r="L156">
        <v>2.6763805438883015E-3</v>
      </c>
      <c r="M156">
        <f t="shared" si="31"/>
        <v>3.220353224155581E-2</v>
      </c>
      <c r="N156">
        <f t="shared" si="39"/>
        <v>4.2802904713012402E-2</v>
      </c>
      <c r="O156">
        <v>1.06191465816414E-5</v>
      </c>
      <c r="P156">
        <v>4.2792285566430763E-2</v>
      </c>
      <c r="Q156">
        <v>0.9571970952869876</v>
      </c>
      <c r="R156">
        <f t="shared" si="32"/>
        <v>1</v>
      </c>
      <c r="S156">
        <f t="shared" si="33"/>
        <v>200</v>
      </c>
      <c r="T156">
        <v>44.931899844752301</v>
      </c>
      <c r="U156">
        <f t="shared" si="40"/>
        <v>245.67886074667592</v>
      </c>
      <c r="V156">
        <f t="shared" si="34"/>
        <v>2.1401452356506201E-2</v>
      </c>
      <c r="W156">
        <f t="shared" si="41"/>
        <v>2.1757520178584101E-2</v>
      </c>
    </row>
    <row r="157" spans="1:23">
      <c r="A157" s="2">
        <v>154</v>
      </c>
      <c r="B157" s="2">
        <v>77.833333300000007</v>
      </c>
      <c r="C157">
        <f t="shared" si="28"/>
        <v>0.64308075207067572</v>
      </c>
      <c r="D157" s="21">
        <v>9.3119522082226894E-6</v>
      </c>
      <c r="E157">
        <f t="shared" si="29"/>
        <v>0.13135989434324677</v>
      </c>
      <c r="F157" s="22">
        <f t="shared" si="35"/>
        <v>9.3119522082226894E-6</v>
      </c>
      <c r="G157">
        <f t="shared" si="36"/>
        <v>0.12309787452021947</v>
      </c>
      <c r="H157" s="21">
        <v>4.1423613451384102E-2</v>
      </c>
      <c r="I157">
        <f t="shared" si="30"/>
        <v>3.2754875959213135E-2</v>
      </c>
      <c r="J157" s="22">
        <f t="shared" si="37"/>
        <v>4.1423613451384102E-2</v>
      </c>
      <c r="K157">
        <f t="shared" si="38"/>
        <v>3.2224244379587264E-2</v>
      </c>
      <c r="L157">
        <v>2.6763805438883015E-3</v>
      </c>
      <c r="M157">
        <f t="shared" si="31"/>
        <v>3.2224244379587264E-2</v>
      </c>
      <c r="N157">
        <f t="shared" si="39"/>
        <v>4.1423613451384102E-2</v>
      </c>
      <c r="O157">
        <v>9.3119522082226894E-6</v>
      </c>
      <c r="P157">
        <v>4.1414301499175882E-2</v>
      </c>
      <c r="Q157">
        <v>0.95857638654861588</v>
      </c>
      <c r="R157">
        <f t="shared" si="32"/>
        <v>1</v>
      </c>
      <c r="S157">
        <f t="shared" si="33"/>
        <v>200</v>
      </c>
      <c r="T157">
        <v>43.485016574134676</v>
      </c>
      <c r="U157">
        <f t="shared" si="40"/>
        <v>244.20845820944348</v>
      </c>
      <c r="V157">
        <f t="shared" si="34"/>
        <v>2.0711806725692051E-2</v>
      </c>
      <c r="W157">
        <f t="shared" si="41"/>
        <v>2.1056629541099124E-2</v>
      </c>
    </row>
    <row r="158" spans="1:23">
      <c r="A158" s="2">
        <v>155</v>
      </c>
      <c r="B158" s="2">
        <v>77.916666699999993</v>
      </c>
      <c r="C158">
        <f t="shared" si="28"/>
        <v>0.64123981749999415</v>
      </c>
      <c r="D158" s="21">
        <v>8.1642768478554096E-6</v>
      </c>
      <c r="E158">
        <f t="shared" si="29"/>
        <v>0.13153060351446602</v>
      </c>
      <c r="F158" s="22">
        <f t="shared" si="35"/>
        <v>8.1642768478554096E-6</v>
      </c>
      <c r="G158">
        <f t="shared" si="36"/>
        <v>0.12324755697885281</v>
      </c>
      <c r="H158" s="21">
        <v>4.0087915870861503E-2</v>
      </c>
      <c r="I158">
        <f t="shared" si="30"/>
        <v>3.277615240842234E-2</v>
      </c>
      <c r="J158" s="22">
        <f t="shared" si="37"/>
        <v>4.0087915870861503E-2</v>
      </c>
      <c r="K158">
        <f t="shared" si="38"/>
        <v>3.2244834992249283E-2</v>
      </c>
      <c r="L158">
        <v>2.6763805438883015E-3</v>
      </c>
      <c r="M158">
        <f t="shared" si="31"/>
        <v>3.2244834992249283E-2</v>
      </c>
      <c r="N158">
        <f t="shared" si="39"/>
        <v>4.0087915870861503E-2</v>
      </c>
      <c r="O158">
        <v>8.1642768478554096E-6</v>
      </c>
      <c r="P158">
        <v>4.0079751594013648E-2</v>
      </c>
      <c r="Q158">
        <v>0.95991208412913853</v>
      </c>
      <c r="R158">
        <f t="shared" si="32"/>
        <v>1</v>
      </c>
      <c r="S158">
        <f t="shared" si="33"/>
        <v>200</v>
      </c>
      <c r="T158">
        <v>42.083739173714328</v>
      </c>
      <c r="U158">
        <f t="shared" si="40"/>
        <v>242.78437787392448</v>
      </c>
      <c r="V158">
        <f t="shared" si="34"/>
        <v>2.0043957935430751E-2</v>
      </c>
      <c r="W158">
        <f t="shared" si="41"/>
        <v>2.0377882330561401E-2</v>
      </c>
    </row>
    <row r="159" spans="1:23">
      <c r="A159" s="2">
        <v>156</v>
      </c>
      <c r="B159" s="2">
        <v>78</v>
      </c>
      <c r="C159">
        <f t="shared" si="28"/>
        <v>0.63940415293635677</v>
      </c>
      <c r="D159" s="21">
        <v>7.1568341413194397E-6</v>
      </c>
      <c r="E159">
        <f t="shared" si="29"/>
        <v>0.13170043102512791</v>
      </c>
      <c r="F159" s="22">
        <f t="shared" si="35"/>
        <v>7.1568341413194397E-6</v>
      </c>
      <c r="G159">
        <f t="shared" si="36"/>
        <v>0.12339644102105685</v>
      </c>
      <c r="H159" s="21">
        <v>3.87944670155436E-2</v>
      </c>
      <c r="I159">
        <f t="shared" si="30"/>
        <v>3.2797305275382535E-2</v>
      </c>
      <c r="J159" s="22">
        <f t="shared" si="37"/>
        <v>3.87944670155436E-2</v>
      </c>
      <c r="K159">
        <f t="shared" si="38"/>
        <v>3.2265305571998248E-2</v>
      </c>
      <c r="L159">
        <v>3.0593740187374596E-3</v>
      </c>
      <c r="M159">
        <f t="shared" si="31"/>
        <v>3.2265305571998248E-2</v>
      </c>
      <c r="N159">
        <f t="shared" si="39"/>
        <v>3.87944670155436E-2</v>
      </c>
      <c r="O159">
        <v>7.1568341413194397E-6</v>
      </c>
      <c r="P159">
        <v>3.8787310181402281E-2</v>
      </c>
      <c r="Q159">
        <v>0.96120553298445643</v>
      </c>
      <c r="R159">
        <f t="shared" si="32"/>
        <v>1</v>
      </c>
      <c r="S159">
        <f t="shared" si="33"/>
        <v>200</v>
      </c>
      <c r="T159">
        <v>40.726675690472398</v>
      </c>
      <c r="U159">
        <f t="shared" si="40"/>
        <v>241.40520743209336</v>
      </c>
      <c r="V159">
        <f t="shared" si="34"/>
        <v>1.93972335077718E-2</v>
      </c>
      <c r="W159">
        <f t="shared" si="41"/>
        <v>1.9720595721601276E-2</v>
      </c>
    </row>
    <row r="160" spans="1:23">
      <c r="A160" s="2">
        <v>157</v>
      </c>
      <c r="B160" s="2">
        <v>78.083333300000007</v>
      </c>
      <c r="C160">
        <f t="shared" si="28"/>
        <v>0.63757374329341898</v>
      </c>
      <c r="D160" s="21">
        <v>6.2726463883372301E-6</v>
      </c>
      <c r="E160">
        <f t="shared" si="29"/>
        <v>0.13186938705497944</v>
      </c>
      <c r="F160" s="22">
        <f t="shared" si="35"/>
        <v>6.2726463883372301E-6</v>
      </c>
      <c r="G160">
        <f t="shared" si="36"/>
        <v>0.12354453596701631</v>
      </c>
      <c r="H160" s="21">
        <v>3.7541962137345598E-2</v>
      </c>
      <c r="I160">
        <f t="shared" si="30"/>
        <v>3.2818336065766875E-2</v>
      </c>
      <c r="J160" s="22">
        <f t="shared" si="37"/>
        <v>3.7541962137345598E-2</v>
      </c>
      <c r="K160">
        <f t="shared" si="38"/>
        <v>3.2285657583494221E-2</v>
      </c>
      <c r="L160">
        <v>3.0593740187374596E-3</v>
      </c>
      <c r="M160">
        <f t="shared" si="31"/>
        <v>3.2285657583494221E-2</v>
      </c>
      <c r="N160">
        <f t="shared" si="39"/>
        <v>3.7541962137345598E-2</v>
      </c>
      <c r="O160">
        <v>6.2726463883372301E-6</v>
      </c>
      <c r="P160">
        <v>3.7535689490957258E-2</v>
      </c>
      <c r="Q160">
        <v>0.96245803786265438</v>
      </c>
      <c r="R160">
        <f t="shared" si="32"/>
        <v>1</v>
      </c>
      <c r="S160">
        <f t="shared" si="33"/>
        <v>200</v>
      </c>
      <c r="T160">
        <v>39.412473965505121</v>
      </c>
      <c r="U160">
        <f t="shared" si="40"/>
        <v>240.06957482798876</v>
      </c>
      <c r="V160">
        <f t="shared" si="34"/>
        <v>1.8770981068672799E-2</v>
      </c>
      <c r="W160">
        <f t="shared" si="41"/>
        <v>1.90841072882223E-2</v>
      </c>
    </row>
    <row r="161" spans="1:23">
      <c r="A161" s="2">
        <v>158</v>
      </c>
      <c r="B161" s="2">
        <v>78.166666699999993</v>
      </c>
      <c r="C161">
        <f t="shared" si="28"/>
        <v>0.6357485735280225</v>
      </c>
      <c r="D161" s="21">
        <v>5.4967711460863802E-6</v>
      </c>
      <c r="E161">
        <f t="shared" si="29"/>
        <v>0.13203748160209972</v>
      </c>
      <c r="F161" s="22">
        <f t="shared" si="35"/>
        <v>5.4967711460863802E-6</v>
      </c>
      <c r="G161">
        <f t="shared" si="36"/>
        <v>0.12369185096954283</v>
      </c>
      <c r="H161" s="21">
        <v>3.6329135545636701E-2</v>
      </c>
      <c r="I161">
        <f t="shared" si="30"/>
        <v>3.2839246257445921E-2</v>
      </c>
      <c r="J161" s="22">
        <f t="shared" si="37"/>
        <v>3.6329135545636701E-2</v>
      </c>
      <c r="K161">
        <f t="shared" si="38"/>
        <v>3.2305892464326358E-2</v>
      </c>
      <c r="L161">
        <v>3.0593740187374596E-3</v>
      </c>
      <c r="M161">
        <f t="shared" si="31"/>
        <v>3.2305892464326358E-2</v>
      </c>
      <c r="N161">
        <f t="shared" si="39"/>
        <v>3.6329135545636701E-2</v>
      </c>
      <c r="O161">
        <v>5.4967711460863802E-6</v>
      </c>
      <c r="P161">
        <v>3.6323638774490616E-2</v>
      </c>
      <c r="Q161">
        <v>0.96367086445436334</v>
      </c>
      <c r="R161">
        <f t="shared" si="32"/>
        <v>1</v>
      </c>
      <c r="S161">
        <f t="shared" si="33"/>
        <v>200</v>
      </c>
      <c r="T161">
        <v>38.139820713215144</v>
      </c>
      <c r="U161">
        <f t="shared" si="40"/>
        <v>238.77614733936014</v>
      </c>
      <c r="V161">
        <f t="shared" si="34"/>
        <v>1.816456777281835E-2</v>
      </c>
      <c r="W161">
        <f t="shared" si="41"/>
        <v>1.8467774420745577E-2</v>
      </c>
    </row>
    <row r="162" spans="1:23">
      <c r="A162" s="2">
        <v>159</v>
      </c>
      <c r="B162" s="2">
        <v>78.25</v>
      </c>
      <c r="C162">
        <f t="shared" si="28"/>
        <v>0.6339286286400736</v>
      </c>
      <c r="D162" s="21">
        <v>4.8160598295731298E-6</v>
      </c>
      <c r="E162">
        <f t="shared" si="29"/>
        <v>0.13220472448727186</v>
      </c>
      <c r="F162" s="22">
        <f t="shared" si="35"/>
        <v>4.8160598295731298E-6</v>
      </c>
      <c r="G162">
        <f t="shared" si="36"/>
        <v>0.12383839501812022</v>
      </c>
      <c r="H162" s="21">
        <v>3.5154759487638902E-2</v>
      </c>
      <c r="I162">
        <f t="shared" si="30"/>
        <v>3.2860037301133703E-2</v>
      </c>
      <c r="J162" s="22">
        <f t="shared" si="37"/>
        <v>3.5154759487638902E-2</v>
      </c>
      <c r="K162">
        <f t="shared" si="38"/>
        <v>3.2326011625642637E-2</v>
      </c>
      <c r="L162">
        <v>3.0593740187374596E-3</v>
      </c>
      <c r="M162">
        <f t="shared" si="31"/>
        <v>3.2326011625642637E-2</v>
      </c>
      <c r="N162">
        <f t="shared" si="39"/>
        <v>3.5154759487638902E-2</v>
      </c>
      <c r="O162">
        <v>4.8160598295731298E-6</v>
      </c>
      <c r="P162">
        <v>3.5149943427809326E-2</v>
      </c>
      <c r="Q162">
        <v>0.96484524051236109</v>
      </c>
      <c r="R162">
        <f t="shared" si="32"/>
        <v>1</v>
      </c>
      <c r="S162">
        <f t="shared" si="33"/>
        <v>200</v>
      </c>
      <c r="T162">
        <v>36.907440599199795</v>
      </c>
      <c r="U162">
        <f t="shared" si="40"/>
        <v>237.52363065620747</v>
      </c>
      <c r="V162">
        <f t="shared" si="34"/>
        <v>1.7577379743819451E-2</v>
      </c>
      <c r="W162">
        <f t="shared" si="41"/>
        <v>1.7870973758318899E-2</v>
      </c>
    </row>
    <row r="163" spans="1:23">
      <c r="A163" s="2">
        <v>160</v>
      </c>
      <c r="B163" s="2">
        <v>78.333333300000007</v>
      </c>
      <c r="C163">
        <f t="shared" si="28"/>
        <v>0.63211389367241899</v>
      </c>
      <c r="D163" s="21">
        <v>4.2189446154961404E-6</v>
      </c>
      <c r="E163">
        <f t="shared" si="29"/>
        <v>0.13237112535821172</v>
      </c>
      <c r="F163" s="22">
        <f t="shared" si="35"/>
        <v>4.2189446154961404E-6</v>
      </c>
      <c r="G163">
        <f t="shared" si="36"/>
        <v>0.12398417694281727</v>
      </c>
      <c r="H163" s="21">
        <v>3.40176430588559E-2</v>
      </c>
      <c r="I163">
        <f t="shared" si="30"/>
        <v>3.288071062110226E-2</v>
      </c>
      <c r="J163" s="22">
        <f t="shared" si="37"/>
        <v>3.40176430588559E-2</v>
      </c>
      <c r="K163">
        <f t="shared" si="38"/>
        <v>3.2346016452845738E-2</v>
      </c>
      <c r="L163">
        <v>3.0593740187374596E-3</v>
      </c>
      <c r="M163">
        <f t="shared" si="31"/>
        <v>3.2346016452845738E-2</v>
      </c>
      <c r="N163">
        <f t="shared" si="39"/>
        <v>3.40176430588559E-2</v>
      </c>
      <c r="O163">
        <v>4.2189446154961404E-6</v>
      </c>
      <c r="P163">
        <v>3.4013424114240402E-2</v>
      </c>
      <c r="Q163">
        <v>0.96598235694114409</v>
      </c>
      <c r="R163">
        <f t="shared" si="32"/>
        <v>1</v>
      </c>
      <c r="S163">
        <f t="shared" si="33"/>
        <v>200</v>
      </c>
      <c r="T163">
        <v>35.71409531995242</v>
      </c>
      <c r="U163">
        <f t="shared" si="40"/>
        <v>236.31076795957611</v>
      </c>
      <c r="V163">
        <f t="shared" si="34"/>
        <v>1.700882152942795E-2</v>
      </c>
      <c r="W163">
        <f t="shared" si="41"/>
        <v>1.72931006366237E-2</v>
      </c>
    </row>
    <row r="164" spans="1:23">
      <c r="A164" s="2">
        <v>161</v>
      </c>
      <c r="B164" s="2">
        <v>78.416666699999993</v>
      </c>
      <c r="C164">
        <f t="shared" si="28"/>
        <v>0.63030435371072258</v>
      </c>
      <c r="D164" s="21">
        <v>3.69525037267162E-6</v>
      </c>
      <c r="E164">
        <f t="shared" si="29"/>
        <v>0.13253669369369295</v>
      </c>
      <c r="F164" s="22">
        <f t="shared" si="35"/>
        <v>3.69525037267162E-6</v>
      </c>
      <c r="G164">
        <f t="shared" si="36"/>
        <v>0.12412920541810313</v>
      </c>
      <c r="H164" s="21">
        <v>3.2916631142820799E-2</v>
      </c>
      <c r="I164">
        <f t="shared" si="30"/>
        <v>3.2901267615778065E-2</v>
      </c>
      <c r="J164" s="22">
        <f t="shared" si="37"/>
        <v>3.2916631142820799E-2</v>
      </c>
      <c r="K164">
        <f t="shared" si="38"/>
        <v>3.2365908306174473E-2</v>
      </c>
      <c r="L164">
        <v>3.0593740187374596E-3</v>
      </c>
      <c r="M164">
        <f t="shared" si="31"/>
        <v>3.2365908306174473E-2</v>
      </c>
      <c r="N164">
        <f t="shared" si="39"/>
        <v>3.2916631142820799E-2</v>
      </c>
      <c r="O164">
        <v>3.69525037267162E-6</v>
      </c>
      <c r="P164">
        <v>3.2912935892448127E-2</v>
      </c>
      <c r="Q164">
        <v>0.96708336885717916</v>
      </c>
      <c r="R164">
        <f t="shared" si="32"/>
        <v>1</v>
      </c>
      <c r="S164">
        <f t="shared" si="33"/>
        <v>200</v>
      </c>
      <c r="T164">
        <v>34.558582687070533</v>
      </c>
      <c r="U164">
        <f t="shared" si="40"/>
        <v>235.13633900351147</v>
      </c>
      <c r="V164">
        <f t="shared" si="34"/>
        <v>1.6458315571410399E-2</v>
      </c>
      <c r="W164">
        <f t="shared" si="41"/>
        <v>1.6733568550419173E-2</v>
      </c>
    </row>
    <row r="165" spans="1:23">
      <c r="A165" s="2">
        <v>162</v>
      </c>
      <c r="B165" s="2">
        <v>78.5</v>
      </c>
      <c r="C165">
        <f t="shared" si="28"/>
        <v>0.62849999388334321</v>
      </c>
      <c r="D165" s="21">
        <v>3.2360287162547901E-6</v>
      </c>
      <c r="E165">
        <f t="shared" si="29"/>
        <v>0.13270143880754554</v>
      </c>
      <c r="F165" s="22">
        <f t="shared" si="35"/>
        <v>3.2360287162547901E-6</v>
      </c>
      <c r="G165">
        <f t="shared" si="36"/>
        <v>0.12427348896654555</v>
      </c>
      <c r="H165" s="21">
        <v>3.18506033794577E-2</v>
      </c>
      <c r="I165">
        <f t="shared" si="30"/>
        <v>3.2921709658391023E-2</v>
      </c>
      <c r="J165" s="22">
        <f t="shared" si="37"/>
        <v>3.18506033794577E-2</v>
      </c>
      <c r="K165">
        <f t="shared" si="38"/>
        <v>3.2385688521335942E-2</v>
      </c>
      <c r="L165">
        <v>3.0593740187374596E-3</v>
      </c>
      <c r="M165">
        <f t="shared" si="31"/>
        <v>3.2385688521335942E-2</v>
      </c>
      <c r="N165">
        <f t="shared" si="39"/>
        <v>3.18506033794577E-2</v>
      </c>
      <c r="O165">
        <v>3.2360287162547901E-6</v>
      </c>
      <c r="P165">
        <v>3.1847367350741444E-2</v>
      </c>
      <c r="Q165">
        <v>0.96814939662054234</v>
      </c>
      <c r="R165">
        <f t="shared" si="32"/>
        <v>1</v>
      </c>
      <c r="S165">
        <f t="shared" si="33"/>
        <v>200</v>
      </c>
      <c r="T165">
        <v>33.43973571827852</v>
      </c>
      <c r="U165">
        <f t="shared" si="40"/>
        <v>233.99915920267452</v>
      </c>
      <c r="V165">
        <f t="shared" si="34"/>
        <v>1.592530168972885E-2</v>
      </c>
      <c r="W165">
        <f t="shared" si="41"/>
        <v>1.6191808630569626E-2</v>
      </c>
    </row>
    <row r="166" spans="1:23">
      <c r="A166" s="2">
        <v>163</v>
      </c>
      <c r="B166" s="2">
        <v>78.583333300000007</v>
      </c>
      <c r="C166">
        <f t="shared" si="28"/>
        <v>0.6267007993612127</v>
      </c>
      <c r="D166" s="21">
        <v>2.83341161508928E-6</v>
      </c>
      <c r="E166">
        <f t="shared" si="29"/>
        <v>0.1328653698524942</v>
      </c>
      <c r="F166" s="22">
        <f t="shared" si="35"/>
        <v>2.83341161508928E-6</v>
      </c>
      <c r="G166">
        <f t="shared" si="36"/>
        <v>0.12441703596236253</v>
      </c>
      <c r="H166" s="21">
        <v>3.08184731613678E-2</v>
      </c>
      <c r="I166">
        <f t="shared" si="30"/>
        <v>3.2942038097605167E-2</v>
      </c>
      <c r="J166" s="22">
        <f t="shared" si="37"/>
        <v>3.08184731613678E-2</v>
      </c>
      <c r="K166">
        <f t="shared" si="38"/>
        <v>3.2405358410119822E-2</v>
      </c>
      <c r="L166">
        <v>3.0593740187374596E-3</v>
      </c>
      <c r="M166">
        <f t="shared" si="31"/>
        <v>3.2405358410119822E-2</v>
      </c>
      <c r="N166">
        <f t="shared" si="39"/>
        <v>3.08184731613678E-2</v>
      </c>
      <c r="O166">
        <v>2.83341161508928E-6</v>
      </c>
      <c r="P166">
        <v>3.081563974975271E-2</v>
      </c>
      <c r="Q166">
        <v>0.96918152683863223</v>
      </c>
      <c r="R166">
        <f t="shared" si="32"/>
        <v>1</v>
      </c>
      <c r="S166">
        <f t="shared" si="33"/>
        <v>200</v>
      </c>
      <c r="T166">
        <v>32.356421737240346</v>
      </c>
      <c r="U166">
        <f t="shared" si="40"/>
        <v>232.89807872775944</v>
      </c>
      <c r="V166">
        <f t="shared" si="34"/>
        <v>1.54092365806839E-2</v>
      </c>
      <c r="W166">
        <f t="shared" si="41"/>
        <v>1.5667269135206375E-2</v>
      </c>
    </row>
    <row r="167" spans="1:23">
      <c r="A167" s="2">
        <v>164</v>
      </c>
      <c r="B167" s="2">
        <v>78.666666699999993</v>
      </c>
      <c r="C167">
        <f t="shared" si="28"/>
        <v>0.62490675535771412</v>
      </c>
      <c r="D167" s="21">
        <v>2.4804822761928202E-6</v>
      </c>
      <c r="E167">
        <f t="shared" si="29"/>
        <v>0.13302849582395987</v>
      </c>
      <c r="F167" s="22">
        <f t="shared" si="35"/>
        <v>2.4804822761928202E-6</v>
      </c>
      <c r="G167">
        <f t="shared" si="36"/>
        <v>0.12455985463493591</v>
      </c>
      <c r="H167" s="21">
        <v>2.9819186657365899E-2</v>
      </c>
      <c r="I167">
        <f t="shared" si="30"/>
        <v>3.2962254258044318E-2</v>
      </c>
      <c r="J167" s="22">
        <f t="shared" si="37"/>
        <v>2.9819186657365899E-2</v>
      </c>
      <c r="K167">
        <f t="shared" si="38"/>
        <v>3.2424919260910956E-2</v>
      </c>
      <c r="L167">
        <v>3.0593740187374596E-3</v>
      </c>
      <c r="M167">
        <f t="shared" si="31"/>
        <v>3.2424919260910956E-2</v>
      </c>
      <c r="N167">
        <f t="shared" si="39"/>
        <v>2.9819186657365899E-2</v>
      </c>
      <c r="O167">
        <v>2.4804822761928202E-6</v>
      </c>
      <c r="P167">
        <v>2.9816706175089705E-2</v>
      </c>
      <c r="Q167">
        <v>0.97018081334263406</v>
      </c>
      <c r="R167">
        <f t="shared" si="32"/>
        <v>1</v>
      </c>
      <c r="S167">
        <f t="shared" si="33"/>
        <v>200</v>
      </c>
      <c r="T167">
        <v>31.30754148384419</v>
      </c>
      <c r="U167">
        <f t="shared" si="40"/>
        <v>231.83198161054227</v>
      </c>
      <c r="V167">
        <f t="shared" si="34"/>
        <v>1.4909593328682949E-2</v>
      </c>
      <c r="W167">
        <f t="shared" si="41"/>
        <v>1.5159414954683426E-2</v>
      </c>
    </row>
    <row r="168" spans="1:23">
      <c r="A168" s="2">
        <v>165</v>
      </c>
      <c r="B168" s="2">
        <v>78.75</v>
      </c>
      <c r="C168">
        <f t="shared" si="28"/>
        <v>0.62311784712855878</v>
      </c>
      <c r="D168" s="21">
        <v>2.17116129179072E-6</v>
      </c>
      <c r="E168">
        <f t="shared" si="29"/>
        <v>0.1331908255636696</v>
      </c>
      <c r="F168" s="22">
        <f t="shared" si="35"/>
        <v>2.17116129179072E-6</v>
      </c>
      <c r="G168">
        <f t="shared" si="36"/>
        <v>0.12470195307215126</v>
      </c>
      <c r="H168" s="21">
        <v>2.8851721862598899E-2</v>
      </c>
      <c r="I168">
        <f t="shared" si="30"/>
        <v>3.2982359440930878E-2</v>
      </c>
      <c r="J168" s="22">
        <f t="shared" si="37"/>
        <v>2.8851721862598899E-2</v>
      </c>
      <c r="K168">
        <f t="shared" si="38"/>
        <v>3.2444372339311189E-2</v>
      </c>
      <c r="L168">
        <v>3.0593740187374596E-3</v>
      </c>
      <c r="M168">
        <f t="shared" si="31"/>
        <v>3.2444372339311189E-2</v>
      </c>
      <c r="N168">
        <f t="shared" si="39"/>
        <v>2.8851721862598899E-2</v>
      </c>
      <c r="O168">
        <v>2.17116129179072E-6</v>
      </c>
      <c r="P168">
        <v>2.8849550701307108E-2</v>
      </c>
      <c r="Q168">
        <v>0.97114827813740112</v>
      </c>
      <c r="R168">
        <f t="shared" si="32"/>
        <v>1</v>
      </c>
      <c r="S168">
        <f t="shared" si="33"/>
        <v>200</v>
      </c>
      <c r="T168">
        <v>30.292028236372463</v>
      </c>
      <c r="U168">
        <f t="shared" si="40"/>
        <v>230.79978486010833</v>
      </c>
      <c r="V168">
        <f t="shared" si="34"/>
        <v>1.4425860931299449E-2</v>
      </c>
      <c r="W168">
        <f t="shared" si="41"/>
        <v>1.46677271299912E-2</v>
      </c>
    </row>
    <row r="169" spans="1:23">
      <c r="A169" s="2">
        <v>166</v>
      </c>
      <c r="B169" s="2">
        <v>78.833333300000007</v>
      </c>
      <c r="C169">
        <f t="shared" si="28"/>
        <v>0.62133405997166735</v>
      </c>
      <c r="D169" s="21">
        <v>1.90010626613031E-6</v>
      </c>
      <c r="E169">
        <f t="shared" si="29"/>
        <v>0.13335236776323711</v>
      </c>
      <c r="F169" s="22">
        <f t="shared" si="35"/>
        <v>1.90010626613031E-6</v>
      </c>
      <c r="G169">
        <f t="shared" si="36"/>
        <v>0.12484333922370672</v>
      </c>
      <c r="H169" s="21">
        <v>2.79150876745984E-2</v>
      </c>
      <c r="I169">
        <f t="shared" si="30"/>
        <v>3.3002354924594308E-2</v>
      </c>
      <c r="J169" s="22">
        <f t="shared" si="37"/>
        <v>2.79150876745984E-2</v>
      </c>
      <c r="K169">
        <f t="shared" si="38"/>
        <v>3.2463718888635085E-2</v>
      </c>
      <c r="L169">
        <v>3.0593740187374596E-3</v>
      </c>
      <c r="M169">
        <f t="shared" si="31"/>
        <v>3.2463718888635085E-2</v>
      </c>
      <c r="N169">
        <f t="shared" si="39"/>
        <v>2.79150876745984E-2</v>
      </c>
      <c r="O169">
        <v>1.90010626613031E-6</v>
      </c>
      <c r="P169">
        <v>2.7913187568332269E-2</v>
      </c>
      <c r="Q169">
        <v>0.97208491232540162</v>
      </c>
      <c r="R169">
        <f t="shared" si="32"/>
        <v>1</v>
      </c>
      <c r="S169">
        <f t="shared" si="33"/>
        <v>200</v>
      </c>
      <c r="T169">
        <v>29.308846946748883</v>
      </c>
      <c r="U169">
        <f t="shared" si="40"/>
        <v>229.80043759156067</v>
      </c>
      <c r="V169">
        <f t="shared" si="34"/>
        <v>1.39575438372992E-2</v>
      </c>
      <c r="W169">
        <f t="shared" si="41"/>
        <v>1.4191702384299325E-2</v>
      </c>
    </row>
    <row r="170" spans="1:23">
      <c r="A170" s="2">
        <v>167</v>
      </c>
      <c r="B170" s="2">
        <v>78.916666699999993</v>
      </c>
      <c r="C170">
        <f t="shared" si="28"/>
        <v>0.61955537922704751</v>
      </c>
      <c r="D170" s="21">
        <v>1.66262334484403E-6</v>
      </c>
      <c r="E170">
        <f t="shared" si="29"/>
        <v>0.1335131309675251</v>
      </c>
      <c r="F170" s="22">
        <f t="shared" si="35"/>
        <v>1.66262334484403E-6</v>
      </c>
      <c r="G170">
        <f t="shared" si="36"/>
        <v>0.12498402090422522</v>
      </c>
      <c r="H170" s="21">
        <v>2.7008322994626001E-2</v>
      </c>
      <c r="I170">
        <f t="shared" si="30"/>
        <v>3.3022241965040583E-2</v>
      </c>
      <c r="J170" s="22">
        <f t="shared" si="37"/>
        <v>2.7008322994626001E-2</v>
      </c>
      <c r="K170">
        <f t="shared" si="38"/>
        <v>3.2482960130464478E-2</v>
      </c>
      <c r="L170">
        <v>3.0593740187374596E-3</v>
      </c>
      <c r="M170">
        <f t="shared" si="31"/>
        <v>3.2482960130464478E-2</v>
      </c>
      <c r="N170">
        <f t="shared" si="39"/>
        <v>2.7008322994626001E-2</v>
      </c>
      <c r="O170">
        <v>1.66262334484403E-6</v>
      </c>
      <c r="P170">
        <v>2.7006660371281157E-2</v>
      </c>
      <c r="Q170">
        <v>0.97299167700537403</v>
      </c>
      <c r="R170">
        <f t="shared" si="32"/>
        <v>1</v>
      </c>
      <c r="S170">
        <f t="shared" si="33"/>
        <v>200</v>
      </c>
      <c r="T170">
        <v>28.356993389845215</v>
      </c>
      <c r="U170">
        <f t="shared" si="40"/>
        <v>228.83292016829705</v>
      </c>
      <c r="V170">
        <f t="shared" si="34"/>
        <v>1.3504161497313E-2</v>
      </c>
      <c r="W170">
        <f t="shared" si="41"/>
        <v>1.3730852667306101E-2</v>
      </c>
    </row>
    <row r="171" spans="1:23">
      <c r="A171" s="2">
        <v>168</v>
      </c>
      <c r="B171" s="2">
        <v>79</v>
      </c>
      <c r="C171">
        <f t="shared" si="28"/>
        <v>0.61778179027667335</v>
      </c>
      <c r="D171" s="21">
        <v>1.4545892518064301E-6</v>
      </c>
      <c r="E171">
        <f t="shared" si="29"/>
        <v>0.13367312357812366</v>
      </c>
      <c r="F171" s="22">
        <f t="shared" si="35"/>
        <v>1.4545892518064301E-6</v>
      </c>
      <c r="G171">
        <f t="shared" si="36"/>
        <v>0.12512400579646343</v>
      </c>
      <c r="H171" s="21">
        <v>2.6130495853687E-2</v>
      </c>
      <c r="I171">
        <f t="shared" si="30"/>
        <v>3.3042021796431731E-2</v>
      </c>
      <c r="J171" s="22">
        <f t="shared" si="37"/>
        <v>2.6130495853687E-2</v>
      </c>
      <c r="K171">
        <f t="shared" si="38"/>
        <v>3.2502097265115881E-2</v>
      </c>
      <c r="L171">
        <v>3.4107179593899639E-3</v>
      </c>
      <c r="M171">
        <f t="shared" si="31"/>
        <v>3.2502097265115881E-2</v>
      </c>
      <c r="N171">
        <f t="shared" si="39"/>
        <v>2.6130495853687E-2</v>
      </c>
      <c r="O171">
        <v>1.4545892518064301E-6</v>
      </c>
      <c r="P171">
        <v>2.6129041264435195E-2</v>
      </c>
      <c r="Q171">
        <v>0.97386950414631301</v>
      </c>
      <c r="R171">
        <f t="shared" si="32"/>
        <v>1</v>
      </c>
      <c r="S171">
        <f t="shared" si="33"/>
        <v>200</v>
      </c>
      <c r="T171">
        <v>27.435493327656953</v>
      </c>
      <c r="U171">
        <f t="shared" si="40"/>
        <v>227.89624335875109</v>
      </c>
      <c r="V171">
        <f t="shared" si="34"/>
        <v>1.30652479268435E-2</v>
      </c>
      <c r="W171">
        <f t="shared" si="41"/>
        <v>1.328470471207825E-2</v>
      </c>
    </row>
    <row r="172" spans="1:23">
      <c r="A172" s="2">
        <v>169</v>
      </c>
      <c r="B172" s="2">
        <v>79.083333300000007</v>
      </c>
      <c r="C172">
        <f t="shared" si="28"/>
        <v>0.61601327854436605</v>
      </c>
      <c r="D172" s="21">
        <v>1.2723825998654201E-6</v>
      </c>
      <c r="E172">
        <f t="shared" si="29"/>
        <v>0.13383235385642267</v>
      </c>
      <c r="F172" s="22">
        <f t="shared" si="35"/>
        <v>1.2723825998654201E-6</v>
      </c>
      <c r="G172">
        <f t="shared" si="36"/>
        <v>0.12526330145416009</v>
      </c>
      <c r="H172" s="21">
        <v>2.5280702562595798E-2</v>
      </c>
      <c r="I172">
        <f t="shared" si="30"/>
        <v>3.3061695631647528E-2</v>
      </c>
      <c r="J172" s="22">
        <f t="shared" si="37"/>
        <v>2.5280702562595798E-2</v>
      </c>
      <c r="K172">
        <f t="shared" si="38"/>
        <v>3.2521131472187381E-2</v>
      </c>
      <c r="L172">
        <v>3.4107179593899639E-3</v>
      </c>
      <c r="M172">
        <f t="shared" si="31"/>
        <v>3.2521131472187381E-2</v>
      </c>
      <c r="N172">
        <f t="shared" si="39"/>
        <v>2.5280702562595798E-2</v>
      </c>
      <c r="O172">
        <v>1.2723825998654201E-6</v>
      </c>
      <c r="P172">
        <v>2.5279430179995933E-2</v>
      </c>
      <c r="Q172">
        <v>0.97471929743740415</v>
      </c>
      <c r="R172">
        <f t="shared" si="32"/>
        <v>1</v>
      </c>
      <c r="S172">
        <f t="shared" si="33"/>
        <v>200</v>
      </c>
      <c r="T172">
        <v>26.543401688995729</v>
      </c>
      <c r="U172">
        <f t="shared" si="40"/>
        <v>226.98944750832635</v>
      </c>
      <c r="V172">
        <f t="shared" si="34"/>
        <v>1.2640351281297899E-2</v>
      </c>
      <c r="W172">
        <f t="shared" si="41"/>
        <v>1.28527996040707E-2</v>
      </c>
    </row>
    <row r="173" spans="1:23">
      <c r="A173" s="2">
        <v>170</v>
      </c>
      <c r="B173" s="2">
        <v>79.166666699999993</v>
      </c>
      <c r="C173">
        <f t="shared" si="28"/>
        <v>0.61424982949567408</v>
      </c>
      <c r="D173" s="21">
        <v>1.1128233848414401E-6</v>
      </c>
      <c r="E173">
        <f t="shared" si="29"/>
        <v>0.13399082992691214</v>
      </c>
      <c r="F173" s="22">
        <f t="shared" si="35"/>
        <v>1.1128233848414401E-6</v>
      </c>
      <c r="G173">
        <f t="shared" si="36"/>
        <v>0.12540191530507927</v>
      </c>
      <c r="H173" s="21">
        <v>2.44580668854943E-2</v>
      </c>
      <c r="I173">
        <f t="shared" si="30"/>
        <v>3.3081264662724104E-2</v>
      </c>
      <c r="J173" s="22">
        <f t="shared" si="37"/>
        <v>2.44580668854943E-2</v>
      </c>
      <c r="K173">
        <f t="shared" si="38"/>
        <v>3.2540063910986183E-2</v>
      </c>
      <c r="L173">
        <v>3.4107179593899639E-3</v>
      </c>
      <c r="M173">
        <f t="shared" si="31"/>
        <v>3.2540063910986183E-2</v>
      </c>
      <c r="N173">
        <f t="shared" si="39"/>
        <v>2.44580668854943E-2</v>
      </c>
      <c r="O173">
        <v>1.1128233848414401E-6</v>
      </c>
      <c r="P173">
        <v>2.4456954062109459E-2</v>
      </c>
      <c r="Q173">
        <v>0.97554193311450565</v>
      </c>
      <c r="R173">
        <f t="shared" si="32"/>
        <v>1</v>
      </c>
      <c r="S173">
        <f t="shared" si="33"/>
        <v>200</v>
      </c>
      <c r="T173">
        <v>25.679801765214933</v>
      </c>
      <c r="U173">
        <f t="shared" si="40"/>
        <v>226.11160172710535</v>
      </c>
      <c r="V173">
        <f t="shared" si="34"/>
        <v>1.222903344274715E-2</v>
      </c>
      <c r="W173">
        <f t="shared" si="41"/>
        <v>1.2434692362022524E-2</v>
      </c>
    </row>
    <row r="174" spans="1:23">
      <c r="A174" s="2">
        <v>171</v>
      </c>
      <c r="B174" s="2">
        <v>79.25</v>
      </c>
      <c r="C174">
        <f t="shared" si="28"/>
        <v>0.61249142863775241</v>
      </c>
      <c r="D174" s="21">
        <v>9.7311969885313194E-7</v>
      </c>
      <c r="E174">
        <f t="shared" si="29"/>
        <v>0.1341485597801613</v>
      </c>
      <c r="F174" s="22">
        <f t="shared" si="35"/>
        <v>9.7311969885313194E-7</v>
      </c>
      <c r="G174">
        <f t="shared" si="36"/>
        <v>0.1255398546537676</v>
      </c>
      <c r="H174" s="21">
        <v>2.3661739236231299E-2</v>
      </c>
      <c r="I174">
        <f t="shared" si="30"/>
        <v>3.3100730061377863E-2</v>
      </c>
      <c r="J174" s="22">
        <f t="shared" si="37"/>
        <v>2.3661739236231299E-2</v>
      </c>
      <c r="K174">
        <f t="shared" si="38"/>
        <v>3.2558895721038761E-2</v>
      </c>
      <c r="L174">
        <v>3.4107179593899639E-3</v>
      </c>
      <c r="M174">
        <f t="shared" si="31"/>
        <v>3.2558895721038761E-2</v>
      </c>
      <c r="N174">
        <f t="shared" si="39"/>
        <v>2.3661739236231299E-2</v>
      </c>
      <c r="O174">
        <v>9.7311969885313194E-7</v>
      </c>
      <c r="P174">
        <v>2.3660766116532447E-2</v>
      </c>
      <c r="Q174">
        <v>0.97633826076376873</v>
      </c>
      <c r="R174">
        <f t="shared" si="32"/>
        <v>1</v>
      </c>
      <c r="S174">
        <f t="shared" si="33"/>
        <v>200</v>
      </c>
      <c r="T174">
        <v>24.843804422359067</v>
      </c>
      <c r="U174">
        <f t="shared" si="40"/>
        <v>225.26180309378702</v>
      </c>
      <c r="V174">
        <f t="shared" si="34"/>
        <v>1.183086961811565E-2</v>
      </c>
      <c r="W174">
        <f t="shared" si="41"/>
        <v>1.2029951530431401E-2</v>
      </c>
    </row>
    <row r="175" spans="1:23">
      <c r="A175" s="2">
        <v>172</v>
      </c>
      <c r="B175" s="2">
        <v>79.333333300000007</v>
      </c>
      <c r="C175">
        <f t="shared" si="28"/>
        <v>0.61073806151924548</v>
      </c>
      <c r="D175" s="21">
        <v>8.5082081118134803E-7</v>
      </c>
      <c r="E175">
        <f t="shared" si="29"/>
        <v>0.13430555127582577</v>
      </c>
      <c r="F175" s="22">
        <f t="shared" si="35"/>
        <v>8.5082081118134803E-7</v>
      </c>
      <c r="G175">
        <f t="shared" si="36"/>
        <v>0.12567712668433184</v>
      </c>
      <c r="H175" s="21">
        <v>2.2890895897027998E-2</v>
      </c>
      <c r="I175">
        <f t="shared" si="30"/>
        <v>3.312009297942374E-2</v>
      </c>
      <c r="J175" s="22">
        <f t="shared" si="37"/>
        <v>2.2890895897027998E-2</v>
      </c>
      <c r="K175">
        <f t="shared" si="38"/>
        <v>3.2577628022498528E-2</v>
      </c>
      <c r="L175">
        <v>3.4107179593899639E-3</v>
      </c>
      <c r="M175">
        <f t="shared" si="31"/>
        <v>3.2577628022498528E-2</v>
      </c>
      <c r="N175">
        <f t="shared" si="39"/>
        <v>2.2890895897027998E-2</v>
      </c>
      <c r="O175">
        <v>8.5082081118134803E-7</v>
      </c>
      <c r="P175">
        <v>2.2890045076216815E-2</v>
      </c>
      <c r="Q175">
        <v>0.97710910410297203</v>
      </c>
      <c r="R175">
        <f t="shared" si="32"/>
        <v>1</v>
      </c>
      <c r="S175">
        <f t="shared" si="33"/>
        <v>200</v>
      </c>
      <c r="T175">
        <v>24.034547330027657</v>
      </c>
      <c r="U175">
        <f t="shared" si="40"/>
        <v>224.43917587619336</v>
      </c>
      <c r="V175">
        <f t="shared" si="34"/>
        <v>1.1445447948513999E-2</v>
      </c>
      <c r="W175">
        <f t="shared" si="41"/>
        <v>1.1638158783314825E-2</v>
      </c>
    </row>
    <row r="176" spans="1:23">
      <c r="A176" s="2">
        <v>173</v>
      </c>
      <c r="B176" s="2">
        <v>79.416666699999993</v>
      </c>
      <c r="C176">
        <f t="shared" si="28"/>
        <v>0.60898971373016686</v>
      </c>
      <c r="D176" s="21">
        <v>7.4377586416441702E-7</v>
      </c>
      <c r="E176">
        <f t="shared" si="29"/>
        <v>0.13446181214552447</v>
      </c>
      <c r="F176" s="22">
        <f t="shared" si="35"/>
        <v>7.4377586416441702E-7</v>
      </c>
      <c r="G176">
        <f t="shared" si="36"/>
        <v>0.12581373846309796</v>
      </c>
      <c r="H176" s="21">
        <v>2.2144738258862099E-2</v>
      </c>
      <c r="I176">
        <f t="shared" si="30"/>
        <v>3.313935454927535E-2</v>
      </c>
      <c r="J176" s="22">
        <f t="shared" si="37"/>
        <v>2.2144738258862099E-2</v>
      </c>
      <c r="K176">
        <f t="shared" si="38"/>
        <v>3.2596261916632785E-2</v>
      </c>
      <c r="L176">
        <v>3.4107179593899639E-3</v>
      </c>
      <c r="M176">
        <f t="shared" si="31"/>
        <v>3.2596261916632785E-2</v>
      </c>
      <c r="N176">
        <f t="shared" si="39"/>
        <v>2.2144738258862099E-2</v>
      </c>
      <c r="O176">
        <v>7.4377586416441702E-7</v>
      </c>
      <c r="P176">
        <v>2.2143994482997933E-2</v>
      </c>
      <c r="Q176">
        <v>0.9778552617411379</v>
      </c>
      <c r="R176">
        <f t="shared" si="32"/>
        <v>1</v>
      </c>
      <c r="S176">
        <f t="shared" si="33"/>
        <v>200</v>
      </c>
      <c r="T176">
        <v>23.251194207147829</v>
      </c>
      <c r="U176">
        <f t="shared" si="40"/>
        <v>223.64287076858773</v>
      </c>
      <c r="V176">
        <f t="shared" si="34"/>
        <v>1.107236912943105E-2</v>
      </c>
      <c r="W176">
        <f t="shared" si="41"/>
        <v>1.1258908538972524E-2</v>
      </c>
    </row>
    <row r="177" spans="1:23">
      <c r="A177" s="2">
        <v>174</v>
      </c>
      <c r="B177" s="2">
        <v>79.5</v>
      </c>
      <c r="C177">
        <f t="shared" si="28"/>
        <v>0.60724637090178091</v>
      </c>
      <c r="D177" s="21">
        <v>6.50097519480698E-7</v>
      </c>
      <c r="E177">
        <f t="shared" si="29"/>
        <v>0.13461734999568956</v>
      </c>
      <c r="F177" s="22">
        <f t="shared" si="35"/>
        <v>6.50097519480698E-7</v>
      </c>
      <c r="G177">
        <f t="shared" si="36"/>
        <v>0.12594969694124247</v>
      </c>
      <c r="H177" s="21">
        <v>2.1422492083019499E-2</v>
      </c>
      <c r="I177">
        <f t="shared" si="30"/>
        <v>3.3158515884339913E-2</v>
      </c>
      <c r="J177" s="22">
        <f t="shared" si="37"/>
        <v>2.1422492083019499E-2</v>
      </c>
      <c r="K177">
        <f t="shared" si="38"/>
        <v>3.261479848620763E-2</v>
      </c>
      <c r="L177">
        <v>3.4107179593899639E-3</v>
      </c>
      <c r="M177">
        <f t="shared" si="31"/>
        <v>3.261479848620763E-2</v>
      </c>
      <c r="N177">
        <f t="shared" si="39"/>
        <v>2.1422492083019499E-2</v>
      </c>
      <c r="O177">
        <v>6.50097519480698E-7</v>
      </c>
      <c r="P177">
        <v>2.1421841985500019E-2</v>
      </c>
      <c r="Q177">
        <v>0.9785775079169805</v>
      </c>
      <c r="R177">
        <f t="shared" si="32"/>
        <v>1</v>
      </c>
      <c r="S177">
        <f t="shared" si="33"/>
        <v>200</v>
      </c>
      <c r="T177">
        <v>22.492934084775019</v>
      </c>
      <c r="U177">
        <f t="shared" si="40"/>
        <v>222.87206414596142</v>
      </c>
      <c r="V177">
        <f t="shared" si="34"/>
        <v>1.0711246041509749E-2</v>
      </c>
      <c r="W177">
        <f t="shared" si="41"/>
        <v>1.0891807585470399E-2</v>
      </c>
    </row>
    <row r="178" spans="1:23">
      <c r="A178" s="2">
        <v>175</v>
      </c>
      <c r="B178" s="2">
        <v>79.583333300000007</v>
      </c>
      <c r="C178">
        <f t="shared" si="28"/>
        <v>0.60550801870648574</v>
      </c>
      <c r="D178" s="21">
        <v>5.6812996791387695E-7</v>
      </c>
      <c r="E178">
        <f t="shared" si="29"/>
        <v>0.13477217231024202</v>
      </c>
      <c r="F178" s="22">
        <f t="shared" si="35"/>
        <v>5.6812996791387695E-7</v>
      </c>
      <c r="G178">
        <f t="shared" si="36"/>
        <v>0.12608500895726726</v>
      </c>
      <c r="H178" s="21">
        <v>2.07234067832704E-2</v>
      </c>
      <c r="I178">
        <f t="shared" si="30"/>
        <v>3.3177578079472345E-2</v>
      </c>
      <c r="J178" s="22">
        <f t="shared" si="37"/>
        <v>2.07234067832704E-2</v>
      </c>
      <c r="K178">
        <f t="shared" si="38"/>
        <v>3.2633238795930164E-2</v>
      </c>
      <c r="L178">
        <v>3.4107179593899639E-3</v>
      </c>
      <c r="M178">
        <f t="shared" si="31"/>
        <v>3.2633238795930164E-2</v>
      </c>
      <c r="N178">
        <f t="shared" si="39"/>
        <v>2.07234067832704E-2</v>
      </c>
      <c r="O178">
        <v>5.6812996791387695E-7</v>
      </c>
      <c r="P178">
        <v>2.0722838653302485E-2</v>
      </c>
      <c r="Q178">
        <v>0.97927659321672955</v>
      </c>
      <c r="R178">
        <f t="shared" si="32"/>
        <v>1</v>
      </c>
      <c r="S178">
        <f t="shared" si="33"/>
        <v>200</v>
      </c>
      <c r="T178">
        <v>21.75898058596761</v>
      </c>
      <c r="U178">
        <f t="shared" si="40"/>
        <v>222.12595733537131</v>
      </c>
      <c r="V178">
        <f t="shared" si="34"/>
        <v>1.03617033916352E-2</v>
      </c>
      <c r="W178">
        <f t="shared" si="41"/>
        <v>1.0536474716572476E-2</v>
      </c>
    </row>
    <row r="179" spans="1:23">
      <c r="A179" s="2">
        <v>176</v>
      </c>
      <c r="B179" s="2">
        <v>79.666666699999993</v>
      </c>
      <c r="C179">
        <f t="shared" si="28"/>
        <v>0.60377464285769478</v>
      </c>
      <c r="D179" s="21">
        <v>4.9642078446116596E-7</v>
      </c>
      <c r="E179">
        <f t="shared" si="29"/>
        <v>0.13492628645332935</v>
      </c>
      <c r="F179" s="22">
        <f t="shared" si="35"/>
        <v>4.9642078446116596E-7</v>
      </c>
      <c r="G179">
        <f t="shared" si="36"/>
        <v>0.12621968123952476</v>
      </c>
      <c r="H179" s="21">
        <v>2.0046754728141099E-2</v>
      </c>
      <c r="I179">
        <f t="shared" si="30"/>
        <v>3.3196542211372061E-2</v>
      </c>
      <c r="J179" s="22">
        <f t="shared" si="37"/>
        <v>2.0046754728141099E-2</v>
      </c>
      <c r="K179">
        <f t="shared" si="38"/>
        <v>3.2651583892835068E-2</v>
      </c>
      <c r="L179">
        <v>3.4107179593899639E-3</v>
      </c>
      <c r="M179">
        <f t="shared" si="31"/>
        <v>3.2651583892835068E-2</v>
      </c>
      <c r="N179">
        <f t="shared" si="39"/>
        <v>2.0046754728141099E-2</v>
      </c>
      <c r="O179">
        <v>4.9642078446116596E-7</v>
      </c>
      <c r="P179">
        <v>2.0046258307356637E-2</v>
      </c>
      <c r="Q179">
        <v>0.9799532452718589</v>
      </c>
      <c r="R179">
        <f t="shared" si="32"/>
        <v>1</v>
      </c>
      <c r="S179">
        <f t="shared" si="33"/>
        <v>200</v>
      </c>
      <c r="T179">
        <v>21.048571222724469</v>
      </c>
      <c r="U179">
        <f t="shared" si="40"/>
        <v>221.40377590434605</v>
      </c>
      <c r="V179">
        <f t="shared" si="34"/>
        <v>1.002337736407055E-2</v>
      </c>
      <c r="W179">
        <f t="shared" si="41"/>
        <v>1.0192540377852874E-2</v>
      </c>
    </row>
    <row r="180" spans="1:23">
      <c r="A180" s="2">
        <v>177</v>
      </c>
      <c r="B180" s="2">
        <v>79.75</v>
      </c>
      <c r="C180">
        <f t="shared" si="28"/>
        <v>0.60204622910971872</v>
      </c>
      <c r="D180" s="21">
        <v>4.3369617145637199E-7</v>
      </c>
      <c r="E180">
        <f t="shared" si="29"/>
        <v>0.13507969967183475</v>
      </c>
      <c r="F180" s="22">
        <f t="shared" si="35"/>
        <v>4.3369617145637199E-7</v>
      </c>
      <c r="G180">
        <f t="shared" si="36"/>
        <v>0.12635372040853943</v>
      </c>
      <c r="H180" s="21">
        <v>1.9391830562762599E-2</v>
      </c>
      <c r="I180">
        <f t="shared" si="30"/>
        <v>3.3215409338994008E-2</v>
      </c>
      <c r="J180" s="22">
        <f t="shared" si="37"/>
        <v>1.9391830562762599E-2</v>
      </c>
      <c r="K180">
        <f t="shared" si="38"/>
        <v>3.266983480668495E-2</v>
      </c>
      <c r="L180">
        <v>3.4107179593899639E-3</v>
      </c>
      <c r="M180">
        <f t="shared" si="31"/>
        <v>3.266983480668495E-2</v>
      </c>
      <c r="N180">
        <f t="shared" si="39"/>
        <v>1.9391830562762599E-2</v>
      </c>
      <c r="O180">
        <v>4.3369617145637199E-7</v>
      </c>
      <c r="P180">
        <v>1.9391396866591144E-2</v>
      </c>
      <c r="Q180">
        <v>0.98060816943723739</v>
      </c>
      <c r="R180">
        <f t="shared" si="32"/>
        <v>1</v>
      </c>
      <c r="S180">
        <f t="shared" si="33"/>
        <v>200</v>
      </c>
      <c r="T180">
        <v>20.360966709920703</v>
      </c>
      <c r="U180">
        <f t="shared" si="40"/>
        <v>220.7047689663226</v>
      </c>
      <c r="V180">
        <f t="shared" si="34"/>
        <v>9.6959152813812996E-3</v>
      </c>
      <c r="W180">
        <f t="shared" si="41"/>
        <v>9.8596463227259255E-3</v>
      </c>
    </row>
    <row r="181" spans="1:23">
      <c r="A181" s="2">
        <v>178</v>
      </c>
      <c r="B181" s="2">
        <v>79.833333300000007</v>
      </c>
      <c r="C181">
        <f t="shared" si="28"/>
        <v>0.60032276325764977</v>
      </c>
      <c r="D181" s="21">
        <v>3.7883918614471498E-7</v>
      </c>
      <c r="E181">
        <f t="shared" si="29"/>
        <v>0.13523241909796663</v>
      </c>
      <c r="F181" s="22">
        <f t="shared" si="35"/>
        <v>3.7883918614471498E-7</v>
      </c>
      <c r="G181">
        <f t="shared" si="36"/>
        <v>0.12648713297939596</v>
      </c>
      <c r="H181" s="21">
        <v>1.87579505497893E-2</v>
      </c>
      <c r="I181">
        <f t="shared" si="30"/>
        <v>3.3234180503941939E-2</v>
      </c>
      <c r="J181" s="22">
        <f t="shared" si="37"/>
        <v>1.87579505497893E-2</v>
      </c>
      <c r="K181">
        <f t="shared" si="38"/>
        <v>3.2687992550353373E-2</v>
      </c>
      <c r="L181">
        <v>3.4107179593899639E-3</v>
      </c>
      <c r="M181">
        <f t="shared" si="31"/>
        <v>3.2687992550353373E-2</v>
      </c>
      <c r="N181">
        <f t="shared" si="39"/>
        <v>1.87579505497893E-2</v>
      </c>
      <c r="O181">
        <v>3.7883918614471498E-7</v>
      </c>
      <c r="P181">
        <v>1.8757571710603157E-2</v>
      </c>
      <c r="Q181">
        <v>0.98124204945021065</v>
      </c>
      <c r="R181">
        <f t="shared" si="32"/>
        <v>1</v>
      </c>
      <c r="S181">
        <f t="shared" si="33"/>
        <v>200</v>
      </c>
      <c r="T181">
        <v>19.695450296133316</v>
      </c>
      <c r="U181">
        <f t="shared" si="40"/>
        <v>220.02820850302703</v>
      </c>
      <c r="V181">
        <f t="shared" si="34"/>
        <v>9.3789752748946499E-3</v>
      </c>
      <c r="W181">
        <f t="shared" si="41"/>
        <v>9.5374452781379748E-3</v>
      </c>
    </row>
    <row r="182" spans="1:23">
      <c r="A182" s="2">
        <v>179</v>
      </c>
      <c r="B182" s="2">
        <v>79.916666699999993</v>
      </c>
      <c r="C182">
        <f t="shared" si="28"/>
        <v>0.59860423113724404</v>
      </c>
      <c r="D182" s="21">
        <v>3.3087059667013E-7</v>
      </c>
      <c r="E182">
        <f t="shared" si="29"/>
        <v>0.13538445175165423</v>
      </c>
      <c r="F182" s="22">
        <f t="shared" si="35"/>
        <v>3.3087059667013E-7</v>
      </c>
      <c r="G182">
        <f t="shared" si="36"/>
        <v>0.12661992536395428</v>
      </c>
      <c r="H182" s="21">
        <v>1.8144451928892399E-2</v>
      </c>
      <c r="I182">
        <f t="shared" si="30"/>
        <v>3.3252856730834536E-2</v>
      </c>
      <c r="J182" s="22">
        <f t="shared" si="37"/>
        <v>1.8144451928892399E-2</v>
      </c>
      <c r="K182">
        <f t="shared" si="38"/>
        <v>3.2706058120181569E-2</v>
      </c>
      <c r="L182">
        <v>3.4107179593899639E-3</v>
      </c>
      <c r="M182">
        <f t="shared" si="31"/>
        <v>3.2706058120181569E-2</v>
      </c>
      <c r="N182">
        <f t="shared" si="39"/>
        <v>1.8144451928892399E-2</v>
      </c>
      <c r="O182">
        <v>3.3087059667013E-7</v>
      </c>
      <c r="P182">
        <v>1.8144121058295729E-2</v>
      </c>
      <c r="Q182">
        <v>0.98185554807110764</v>
      </c>
      <c r="R182">
        <f t="shared" si="32"/>
        <v>1</v>
      </c>
      <c r="S182">
        <f t="shared" si="33"/>
        <v>200</v>
      </c>
      <c r="T182">
        <v>19.051327111210515</v>
      </c>
      <c r="U182">
        <f t="shared" si="40"/>
        <v>219.37338870367194</v>
      </c>
      <c r="V182">
        <f t="shared" si="34"/>
        <v>9.0722259644461997E-3</v>
      </c>
      <c r="W182">
        <f t="shared" si="41"/>
        <v>9.2256006196704248E-3</v>
      </c>
    </row>
    <row r="183" spans="1:23">
      <c r="A183" s="2">
        <v>180</v>
      </c>
      <c r="B183" s="2">
        <v>80</v>
      </c>
      <c r="C183">
        <f t="shared" si="28"/>
        <v>0.59689061862480519</v>
      </c>
      <c r="D183" s="21">
        <v>2.88932052432452E-7</v>
      </c>
      <c r="E183">
        <f t="shared" si="29"/>
        <v>0.13553580454295694</v>
      </c>
      <c r="F183" s="22">
        <f t="shared" si="35"/>
        <v>2.88932052432452E-7</v>
      </c>
      <c r="G183">
        <f t="shared" si="36"/>
        <v>0.12675210387307312</v>
      </c>
      <c r="H183" s="21">
        <v>1.7550692294342699E-2</v>
      </c>
      <c r="I183">
        <f t="shared" si="30"/>
        <v>3.3271439027696387E-2</v>
      </c>
      <c r="J183" s="22">
        <f t="shared" si="37"/>
        <v>1.7550692294342699E-2</v>
      </c>
      <c r="K183">
        <f t="shared" si="38"/>
        <v>3.2724032496359134E-2</v>
      </c>
      <c r="L183">
        <v>3.8520291919468264E-3</v>
      </c>
      <c r="M183">
        <f t="shared" si="31"/>
        <v>3.2724032496359134E-2</v>
      </c>
      <c r="N183">
        <f t="shared" si="39"/>
        <v>1.7550692294342699E-2</v>
      </c>
      <c r="O183">
        <v>2.88932052432452E-7</v>
      </c>
      <c r="P183">
        <v>1.7550403362290266E-2</v>
      </c>
      <c r="Q183">
        <v>0.9824493077056573</v>
      </c>
      <c r="R183">
        <f t="shared" si="32"/>
        <v>1</v>
      </c>
      <c r="S183">
        <f t="shared" si="33"/>
        <v>200</v>
      </c>
      <c r="T183">
        <v>18.427923530404779</v>
      </c>
      <c r="U183">
        <f t="shared" si="40"/>
        <v>218.73962532080765</v>
      </c>
      <c r="V183">
        <f t="shared" si="34"/>
        <v>8.7753461471713496E-3</v>
      </c>
      <c r="W183">
        <f t="shared" si="41"/>
        <v>8.9237860558087738E-3</v>
      </c>
    </row>
    <row r="184" spans="1:23">
      <c r="A184" s="2">
        <v>181</v>
      </c>
      <c r="B184" s="2">
        <v>80.083333300000007</v>
      </c>
      <c r="C184">
        <f t="shared" si="28"/>
        <v>0.59518191163706891</v>
      </c>
      <c r="D184" s="21">
        <v>2.5227129187578701E-7</v>
      </c>
      <c r="E184">
        <f t="shared" si="29"/>
        <v>0.13568648427440125</v>
      </c>
      <c r="F184" s="22">
        <f t="shared" si="35"/>
        <v>2.5227129187578701E-7</v>
      </c>
      <c r="G184">
        <f t="shared" si="36"/>
        <v>0.12688367471876705</v>
      </c>
      <c r="H184" s="21">
        <v>1.6976048990209901E-2</v>
      </c>
      <c r="I184">
        <f t="shared" si="30"/>
        <v>3.3289928386298344E-2</v>
      </c>
      <c r="J184" s="22">
        <f t="shared" si="37"/>
        <v>1.6976048990209901E-2</v>
      </c>
      <c r="K184">
        <f t="shared" si="38"/>
        <v>3.2741916643255653E-2</v>
      </c>
      <c r="L184">
        <v>3.8520291919468264E-3</v>
      </c>
      <c r="M184">
        <f t="shared" si="31"/>
        <v>3.2741916643255653E-2</v>
      </c>
      <c r="N184">
        <f t="shared" si="39"/>
        <v>1.6976048990209901E-2</v>
      </c>
      <c r="O184">
        <v>2.5227129187578701E-7</v>
      </c>
      <c r="P184">
        <v>1.6975796718918024E-2</v>
      </c>
      <c r="Q184">
        <v>0.98302395100979012</v>
      </c>
      <c r="R184">
        <f t="shared" si="32"/>
        <v>1</v>
      </c>
      <c r="S184">
        <f t="shared" si="33"/>
        <v>200</v>
      </c>
      <c r="T184">
        <v>17.824586554863924</v>
      </c>
      <c r="U184">
        <f t="shared" si="40"/>
        <v>218.12625504263434</v>
      </c>
      <c r="V184">
        <f t="shared" si="34"/>
        <v>8.4880244951049504E-3</v>
      </c>
      <c r="W184">
        <f t="shared" si="41"/>
        <v>8.6316853211381508E-3</v>
      </c>
    </row>
    <row r="185" spans="1:23">
      <c r="A185" s="2">
        <v>182</v>
      </c>
      <c r="B185" s="2">
        <v>80.166666699999993</v>
      </c>
      <c r="C185">
        <f t="shared" si="28"/>
        <v>0.59347809613108604</v>
      </c>
      <c r="D185" s="21">
        <v>2.20229143542666E-7</v>
      </c>
      <c r="E185">
        <f t="shared" si="29"/>
        <v>0.13583649764318445</v>
      </c>
      <c r="F185" s="22">
        <f t="shared" si="35"/>
        <v>2.20229143542666E-7</v>
      </c>
      <c r="G185">
        <f t="shared" si="36"/>
        <v>0.12701464401624374</v>
      </c>
      <c r="H185" s="21">
        <v>1.6419918522714599E-2</v>
      </c>
      <c r="I185">
        <f t="shared" si="30"/>
        <v>3.3308325782534669E-2</v>
      </c>
      <c r="J185" s="22">
        <f t="shared" si="37"/>
        <v>1.6419918522714599E-2</v>
      </c>
      <c r="K185">
        <f t="shared" si="38"/>
        <v>3.2759711509787848E-2</v>
      </c>
      <c r="L185">
        <v>3.8520291919468264E-3</v>
      </c>
      <c r="M185">
        <f t="shared" si="31"/>
        <v>3.2759711509787848E-2</v>
      </c>
      <c r="N185">
        <f t="shared" si="39"/>
        <v>1.6419918522714599E-2</v>
      </c>
      <c r="O185">
        <v>2.20229143542666E-7</v>
      </c>
      <c r="P185">
        <v>1.6419698293571056E-2</v>
      </c>
      <c r="Q185">
        <v>0.98358008147728537</v>
      </c>
      <c r="R185">
        <f t="shared" si="32"/>
        <v>1</v>
      </c>
      <c r="S185">
        <f t="shared" si="33"/>
        <v>200</v>
      </c>
      <c r="T185">
        <v>17.24068320824961</v>
      </c>
      <c r="U185">
        <f t="shared" si="40"/>
        <v>217.53263488155676</v>
      </c>
      <c r="V185">
        <f t="shared" si="34"/>
        <v>8.2099592613572997E-3</v>
      </c>
      <c r="W185">
        <f t="shared" si="41"/>
        <v>8.348991878231125E-3</v>
      </c>
    </row>
    <row r="186" spans="1:23">
      <c r="A186" s="2">
        <v>183</v>
      </c>
      <c r="B186" s="2">
        <v>80.25</v>
      </c>
      <c r="C186">
        <f t="shared" si="28"/>
        <v>0.59177915810410853</v>
      </c>
      <c r="D186" s="21">
        <v>1.9222810516993901E-7</v>
      </c>
      <c r="E186">
        <f t="shared" si="29"/>
        <v>0.13598585124344495</v>
      </c>
      <c r="F186" s="22">
        <f t="shared" si="35"/>
        <v>1.9222810516993901E-7</v>
      </c>
      <c r="G186">
        <f t="shared" si="36"/>
        <v>0.12714501778599629</v>
      </c>
      <c r="H186" s="21">
        <v>1.5881715989282001E-2</v>
      </c>
      <c r="I186">
        <f t="shared" si="30"/>
        <v>3.3326632176708525E-2</v>
      </c>
      <c r="J186" s="22">
        <f t="shared" si="37"/>
        <v>1.5881715989282001E-2</v>
      </c>
      <c r="K186">
        <f t="shared" si="38"/>
        <v>3.2777418029698024E-2</v>
      </c>
      <c r="L186">
        <v>3.8520291919468264E-3</v>
      </c>
      <c r="M186">
        <f t="shared" si="31"/>
        <v>3.2777418029698024E-2</v>
      </c>
      <c r="N186">
        <f t="shared" si="39"/>
        <v>1.5881715989282001E-2</v>
      </c>
      <c r="O186">
        <v>1.9222810516993901E-7</v>
      </c>
      <c r="P186">
        <v>1.5881523761176831E-2</v>
      </c>
      <c r="Q186">
        <v>0.98411828401071799</v>
      </c>
      <c r="R186">
        <f t="shared" si="32"/>
        <v>1</v>
      </c>
      <c r="S186">
        <f t="shared" si="33"/>
        <v>200</v>
      </c>
      <c r="T186">
        <v>16.675599949235671</v>
      </c>
      <c r="U186">
        <f t="shared" si="40"/>
        <v>216.95814157874264</v>
      </c>
      <c r="V186">
        <f t="shared" si="34"/>
        <v>7.9408579946410006E-3</v>
      </c>
      <c r="W186">
        <f t="shared" si="41"/>
        <v>8.0754086279991501E-3</v>
      </c>
    </row>
    <row r="187" spans="1:23">
      <c r="A187" s="2">
        <v>184</v>
      </c>
      <c r="B187" s="2">
        <v>80.333333300000007</v>
      </c>
      <c r="C187">
        <f t="shared" si="28"/>
        <v>0.59008508359347411</v>
      </c>
      <c r="D187" s="21">
        <v>1.6776231115410799E-7</v>
      </c>
      <c r="E187">
        <f t="shared" si="29"/>
        <v>0.13613455156835685</v>
      </c>
      <c r="F187" s="22">
        <f t="shared" si="35"/>
        <v>1.6776231115410799E-7</v>
      </c>
      <c r="G187">
        <f t="shared" si="36"/>
        <v>0.12727480195573926</v>
      </c>
      <c r="H187" s="21">
        <v>1.5360874523853299E-2</v>
      </c>
      <c r="I187">
        <f t="shared" si="30"/>
        <v>3.334484851393453E-2</v>
      </c>
      <c r="J187" s="22">
        <f t="shared" si="37"/>
        <v>1.5360874523853301E-2</v>
      </c>
      <c r="K187">
        <f t="shared" si="38"/>
        <v>3.2795037121945647E-2</v>
      </c>
      <c r="L187">
        <v>3.8520291919468264E-3</v>
      </c>
      <c r="M187">
        <f t="shared" si="31"/>
        <v>3.2795037121945647E-2</v>
      </c>
      <c r="N187">
        <f t="shared" si="39"/>
        <v>1.5360874523853301E-2</v>
      </c>
      <c r="O187">
        <v>1.6776231115410799E-7</v>
      </c>
      <c r="P187">
        <v>1.5360706761542147E-2</v>
      </c>
      <c r="Q187">
        <v>0.98463912547614674</v>
      </c>
      <c r="R187">
        <f t="shared" si="32"/>
        <v>1</v>
      </c>
      <c r="S187">
        <f t="shared" si="33"/>
        <v>200</v>
      </c>
      <c r="T187">
        <v>16.128742099619256</v>
      </c>
      <c r="U187">
        <f t="shared" si="40"/>
        <v>216.40217102442745</v>
      </c>
      <c r="V187">
        <f t="shared" si="34"/>
        <v>7.6804372619266505E-3</v>
      </c>
      <c r="W187">
        <f t="shared" si="41"/>
        <v>7.8106476282838256E-3</v>
      </c>
    </row>
    <row r="188" spans="1:23">
      <c r="A188" s="2">
        <v>185</v>
      </c>
      <c r="B188" s="2">
        <v>80.416666699999993</v>
      </c>
      <c r="C188">
        <f t="shared" si="28"/>
        <v>0.58839585867648969</v>
      </c>
      <c r="D188" s="21">
        <v>1.4638872126751799E-7</v>
      </c>
      <c r="E188">
        <f t="shared" si="29"/>
        <v>0.13628260501222586</v>
      </c>
      <c r="F188" s="22">
        <f t="shared" si="35"/>
        <v>1.4638872126751799E-7</v>
      </c>
      <c r="G188">
        <f t="shared" si="36"/>
        <v>0.12740400236234239</v>
      </c>
      <c r="H188" s="21">
        <v>1.4856844758025E-2</v>
      </c>
      <c r="I188">
        <f t="shared" si="30"/>
        <v>3.3362975724415982E-2</v>
      </c>
      <c r="J188" s="22">
        <f t="shared" si="37"/>
        <v>1.4856844758025E-2</v>
      </c>
      <c r="K188">
        <f t="shared" si="38"/>
        <v>3.2812569690977789E-2</v>
      </c>
      <c r="L188">
        <v>3.8520291919468264E-3</v>
      </c>
      <c r="M188">
        <f t="shared" si="31"/>
        <v>3.2812569690977789E-2</v>
      </c>
      <c r="N188">
        <f t="shared" si="39"/>
        <v>1.4856844758025E-2</v>
      </c>
      <c r="O188">
        <v>1.4638872126751799E-7</v>
      </c>
      <c r="P188">
        <v>1.4856698369303731E-2</v>
      </c>
      <c r="Q188">
        <v>0.98514315524197504</v>
      </c>
      <c r="R188">
        <f t="shared" si="32"/>
        <v>1</v>
      </c>
      <c r="S188">
        <f t="shared" si="33"/>
        <v>200</v>
      </c>
      <c r="T188">
        <v>15.599533287768917</v>
      </c>
      <c r="U188">
        <f t="shared" si="40"/>
        <v>215.86413769369409</v>
      </c>
      <c r="V188">
        <f t="shared" si="34"/>
        <v>7.4284223790124998E-3</v>
      </c>
      <c r="W188">
        <f t="shared" si="41"/>
        <v>7.5544298204695756E-3</v>
      </c>
    </row>
    <row r="189" spans="1:23">
      <c r="A189" s="2">
        <v>186</v>
      </c>
      <c r="B189" s="2">
        <v>80.5</v>
      </c>
      <c r="C189">
        <f t="shared" si="28"/>
        <v>0.58671146947031971</v>
      </c>
      <c r="D189" s="21">
        <v>1.2771938340993101E-7</v>
      </c>
      <c r="E189">
        <f t="shared" si="29"/>
        <v>0.1364300178725347</v>
      </c>
      <c r="F189" s="22">
        <f t="shared" si="35"/>
        <v>1.2771938340993101E-7</v>
      </c>
      <c r="G189">
        <f t="shared" si="36"/>
        <v>0.12753262475371796</v>
      </c>
      <c r="H189" s="21">
        <v>1.43690942975937E-2</v>
      </c>
      <c r="I189">
        <f t="shared" si="30"/>
        <v>3.3381014723763765E-2</v>
      </c>
      <c r="J189" s="22">
        <f t="shared" si="37"/>
        <v>1.43690942975937E-2</v>
      </c>
      <c r="K189">
        <f t="shared" si="38"/>
        <v>3.2830016627039105E-2</v>
      </c>
      <c r="L189">
        <v>3.8520291919468264E-3</v>
      </c>
      <c r="M189">
        <f t="shared" si="31"/>
        <v>3.2830016627039105E-2</v>
      </c>
      <c r="N189">
        <f t="shared" si="39"/>
        <v>1.43690942975937E-2</v>
      </c>
      <c r="O189">
        <v>1.2771938340993101E-7</v>
      </c>
      <c r="P189">
        <v>1.4368966578210291E-2</v>
      </c>
      <c r="Q189">
        <v>0.9856309057024063</v>
      </c>
      <c r="R189">
        <f t="shared" si="32"/>
        <v>1</v>
      </c>
      <c r="S189">
        <f t="shared" si="33"/>
        <v>200</v>
      </c>
      <c r="T189">
        <v>15.087414907120806</v>
      </c>
      <c r="U189">
        <f t="shared" si="40"/>
        <v>215.34347409744484</v>
      </c>
      <c r="V189">
        <f t="shared" si="34"/>
        <v>7.1845471487968502E-3</v>
      </c>
      <c r="W189">
        <f t="shared" si="41"/>
        <v>7.306484763904675E-3</v>
      </c>
    </row>
    <row r="190" spans="1:23">
      <c r="A190" s="2">
        <v>187</v>
      </c>
      <c r="B190" s="2">
        <v>80.583333300000007</v>
      </c>
      <c r="C190">
        <f t="shared" si="28"/>
        <v>0.58503190213187051</v>
      </c>
      <c r="D190" s="21">
        <v>1.11414640739975E-7</v>
      </c>
      <c r="E190">
        <f t="shared" si="29"/>
        <v>0.13657679635191183</v>
      </c>
      <c r="F190" s="22">
        <f t="shared" si="35"/>
        <v>1.11414640739975E-7</v>
      </c>
      <c r="G190">
        <f t="shared" si="36"/>
        <v>0.12766067479063803</v>
      </c>
      <c r="H190" s="21">
        <v>1.3897107214094401E-2</v>
      </c>
      <c r="I190">
        <f t="shared" si="30"/>
        <v>3.3398966413326653E-2</v>
      </c>
      <c r="J190" s="22">
        <f t="shared" si="37"/>
        <v>1.3897107214094401E-2</v>
      </c>
      <c r="K190">
        <f t="shared" si="38"/>
        <v>3.2847378806494465E-2</v>
      </c>
      <c r="L190">
        <v>3.8520291919468264E-3</v>
      </c>
      <c r="M190">
        <f t="shared" si="31"/>
        <v>3.2847378806494465E-2</v>
      </c>
      <c r="N190">
        <f t="shared" si="39"/>
        <v>1.3897107214094401E-2</v>
      </c>
      <c r="O190">
        <v>1.11414640739975E-7</v>
      </c>
      <c r="P190">
        <v>1.389699579945366E-2</v>
      </c>
      <c r="Q190">
        <v>0.98610289278590557</v>
      </c>
      <c r="R190">
        <f t="shared" si="32"/>
        <v>1</v>
      </c>
      <c r="S190">
        <f t="shared" si="33"/>
        <v>200</v>
      </c>
      <c r="T190">
        <v>14.591845589426343</v>
      </c>
      <c r="U190">
        <f t="shared" si="40"/>
        <v>214.83963024827361</v>
      </c>
      <c r="V190">
        <f t="shared" si="34"/>
        <v>6.9485536070472004E-3</v>
      </c>
      <c r="W190">
        <f t="shared" si="41"/>
        <v>7.0665503779220248E-3</v>
      </c>
    </row>
    <row r="191" spans="1:23">
      <c r="A191" s="2">
        <v>188</v>
      </c>
      <c r="B191" s="2">
        <v>80.666666699999993</v>
      </c>
      <c r="C191">
        <f t="shared" si="28"/>
        <v>0.58335714285767604</v>
      </c>
      <c r="D191" s="21">
        <v>9.7177169020179595E-8</v>
      </c>
      <c r="E191">
        <f t="shared" si="29"/>
        <v>0.13672294656002995</v>
      </c>
      <c r="F191" s="22">
        <f t="shared" si="35"/>
        <v>9.7177169020179595E-8</v>
      </c>
      <c r="G191">
        <f t="shared" si="36"/>
        <v>0.12778815804848775</v>
      </c>
      <c r="H191" s="21">
        <v>1.3440383550931301E-2</v>
      </c>
      <c r="I191">
        <f t="shared" si="30"/>
        <v>3.3416831680451155E-2</v>
      </c>
      <c r="J191" s="22">
        <f t="shared" si="37"/>
        <v>1.3440383550931301E-2</v>
      </c>
      <c r="K191">
        <f t="shared" si="38"/>
        <v>3.2864657092081195E-2</v>
      </c>
      <c r="L191">
        <v>3.8520291919468264E-3</v>
      </c>
      <c r="M191">
        <f t="shared" si="31"/>
        <v>3.2864657092081195E-2</v>
      </c>
      <c r="N191">
        <f t="shared" si="39"/>
        <v>1.3440383550931301E-2</v>
      </c>
      <c r="O191">
        <v>9.7177169020179595E-8</v>
      </c>
      <c r="P191">
        <v>1.3440286373762281E-2</v>
      </c>
      <c r="Q191">
        <v>0.98655961644906864</v>
      </c>
      <c r="R191">
        <f t="shared" si="32"/>
        <v>1</v>
      </c>
      <c r="S191">
        <f t="shared" si="33"/>
        <v>200</v>
      </c>
      <c r="T191">
        <v>14.112300692450395</v>
      </c>
      <c r="U191">
        <f t="shared" si="40"/>
        <v>214.35207314093836</v>
      </c>
      <c r="V191">
        <f t="shared" si="34"/>
        <v>6.7201917754656504E-3</v>
      </c>
      <c r="W191">
        <f t="shared" si="41"/>
        <v>6.8343726912564254E-3</v>
      </c>
    </row>
    <row r="192" spans="1:23">
      <c r="A192" s="2">
        <v>189</v>
      </c>
      <c r="B192" s="2">
        <v>80.75</v>
      </c>
      <c r="C192">
        <f t="shared" si="28"/>
        <v>0.58168717788378643</v>
      </c>
      <c r="D192" s="21">
        <v>8.4746743668936705E-8</v>
      </c>
      <c r="E192">
        <f t="shared" si="29"/>
        <v>0.13686847451556533</v>
      </c>
      <c r="F192" s="22">
        <f t="shared" si="35"/>
        <v>8.4746743668936705E-8</v>
      </c>
      <c r="G192">
        <f t="shared" si="36"/>
        <v>0.12791508001906926</v>
      </c>
      <c r="H192" s="21">
        <v>1.2998438843707801E-2</v>
      </c>
      <c r="I192">
        <f t="shared" si="30"/>
        <v>3.3434611398795659E-2</v>
      </c>
      <c r="J192" s="22">
        <f t="shared" si="37"/>
        <v>1.2998438843707801E-2</v>
      </c>
      <c r="K192">
        <f t="shared" si="38"/>
        <v>3.2881852333215389E-2</v>
      </c>
      <c r="L192">
        <v>3.8520291919468264E-3</v>
      </c>
      <c r="M192">
        <f t="shared" si="31"/>
        <v>3.2881852333215389E-2</v>
      </c>
      <c r="N192">
        <f t="shared" si="39"/>
        <v>1.2998438843707801E-2</v>
      </c>
      <c r="O192">
        <v>8.4746743668936705E-8</v>
      </c>
      <c r="P192">
        <v>1.2998354096964131E-2</v>
      </c>
      <c r="Q192">
        <v>0.98700156115629223</v>
      </c>
      <c r="R192">
        <f t="shared" si="32"/>
        <v>1</v>
      </c>
      <c r="S192">
        <f t="shared" si="33"/>
        <v>200</v>
      </c>
      <c r="T192">
        <v>13.648271801812339</v>
      </c>
      <c r="U192">
        <f t="shared" si="40"/>
        <v>213.88028624713138</v>
      </c>
      <c r="V192">
        <f t="shared" si="34"/>
        <v>6.4992194218539004E-3</v>
      </c>
      <c r="W192">
        <f t="shared" si="41"/>
        <v>6.609705598659775E-3</v>
      </c>
    </row>
    <row r="193" spans="1:23">
      <c r="A193" s="2">
        <v>190</v>
      </c>
      <c r="B193" s="2">
        <v>80.833333300000007</v>
      </c>
      <c r="C193">
        <f t="shared" si="28"/>
        <v>0.58002199348565209</v>
      </c>
      <c r="D193" s="21">
        <v>7.3895648056264E-8</v>
      </c>
      <c r="E193">
        <f t="shared" si="29"/>
        <v>0.13701338614795322</v>
      </c>
      <c r="F193" s="22">
        <f t="shared" si="35"/>
        <v>7.3895648056264E-8</v>
      </c>
      <c r="G193">
        <f t="shared" si="36"/>
        <v>0.12804144611222501</v>
      </c>
      <c r="H193" s="21">
        <v>1.2570803654373E-2</v>
      </c>
      <c r="I193">
        <f t="shared" si="30"/>
        <v>3.345230642862234E-2</v>
      </c>
      <c r="J193" s="22">
        <f t="shared" si="37"/>
        <v>1.2570803654373E-2</v>
      </c>
      <c r="K193">
        <f t="shared" si="38"/>
        <v>3.2898965366276012E-2</v>
      </c>
      <c r="L193">
        <v>3.8520291919468264E-3</v>
      </c>
      <c r="M193">
        <f t="shared" si="31"/>
        <v>3.2898965366276012E-2</v>
      </c>
      <c r="N193">
        <f t="shared" si="39"/>
        <v>1.2570803654373E-2</v>
      </c>
      <c r="O193">
        <v>7.3895648056264E-8</v>
      </c>
      <c r="P193">
        <v>1.2570729758724945E-2</v>
      </c>
      <c r="Q193">
        <v>0.98742919634562698</v>
      </c>
      <c r="R193">
        <f t="shared" si="32"/>
        <v>1</v>
      </c>
      <c r="S193">
        <f t="shared" si="33"/>
        <v>200</v>
      </c>
      <c r="T193">
        <v>13.199266246661193</v>
      </c>
      <c r="U193">
        <f t="shared" si="40"/>
        <v>213.42376902423675</v>
      </c>
      <c r="V193">
        <f t="shared" si="34"/>
        <v>6.2854018271865002E-3</v>
      </c>
      <c r="W193">
        <f t="shared" si="41"/>
        <v>6.3923106245202003E-3</v>
      </c>
    </row>
    <row r="194" spans="1:23">
      <c r="A194" s="2">
        <v>191</v>
      </c>
      <c r="B194" s="2">
        <v>80.916666699999993</v>
      </c>
      <c r="C194">
        <f t="shared" si="28"/>
        <v>0.57836157597801363</v>
      </c>
      <c r="D194" s="21">
        <v>6.4424645196486304E-8</v>
      </c>
      <c r="E194">
        <f t="shared" si="29"/>
        <v>0.13715768729919031</v>
      </c>
      <c r="F194" s="22">
        <f t="shared" si="35"/>
        <v>6.4424645196486304E-8</v>
      </c>
      <c r="G194">
        <f t="shared" si="36"/>
        <v>0.1281672616574997</v>
      </c>
      <c r="H194" s="21">
        <v>1.2157023118811399E-2</v>
      </c>
      <c r="I194">
        <f t="shared" si="30"/>
        <v>3.3469917617048116E-2</v>
      </c>
      <c r="J194" s="22">
        <f t="shared" si="37"/>
        <v>1.2157023118811399E-2</v>
      </c>
      <c r="K194">
        <f t="shared" si="38"/>
        <v>3.2915997014849485E-2</v>
      </c>
      <c r="L194">
        <v>3.8520291919468264E-3</v>
      </c>
      <c r="M194">
        <f t="shared" si="31"/>
        <v>3.2915997014849485E-2</v>
      </c>
      <c r="N194">
        <f t="shared" si="39"/>
        <v>1.2157023118811399E-2</v>
      </c>
      <c r="O194">
        <v>6.4424645196486304E-8</v>
      </c>
      <c r="P194">
        <v>1.2156958694166203E-2</v>
      </c>
      <c r="Q194">
        <v>0.98784297688118861</v>
      </c>
      <c r="R194">
        <f t="shared" si="32"/>
        <v>1</v>
      </c>
      <c r="S194">
        <f t="shared" si="33"/>
        <v>200</v>
      </c>
      <c r="T194">
        <v>12.764806628874513</v>
      </c>
      <c r="U194">
        <f t="shared" si="40"/>
        <v>212.98203643776785</v>
      </c>
      <c r="V194">
        <f t="shared" si="34"/>
        <v>6.0785115594056997E-3</v>
      </c>
      <c r="W194">
        <f t="shared" si="41"/>
        <v>6.1819566932961E-3</v>
      </c>
    </row>
    <row r="195" spans="1:23">
      <c r="A195" s="2">
        <v>192</v>
      </c>
      <c r="B195" s="2">
        <v>81</v>
      </c>
      <c r="C195">
        <f t="shared" ref="C195:C258" si="42">1/(1+Disc_rate_per_cyc)^$A195</f>
        <v>0.57670591171478769</v>
      </c>
      <c r="D195" s="21">
        <v>5.6159444347097998E-8</v>
      </c>
      <c r="E195">
        <f t="shared" si="29"/>
        <v>0.13730138372560607</v>
      </c>
      <c r="F195" s="22">
        <f t="shared" si="35"/>
        <v>5.6159444347097998E-8</v>
      </c>
      <c r="G195">
        <f t="shared" si="36"/>
        <v>0.12829253190577272</v>
      </c>
      <c r="H195" s="21">
        <v>1.17566565075105E-2</v>
      </c>
      <c r="I195">
        <f t="shared" si="30"/>
        <v>3.3487445798335437E-2</v>
      </c>
      <c r="J195" s="22">
        <f t="shared" si="37"/>
        <v>1.17566565075105E-2</v>
      </c>
      <c r="K195">
        <f t="shared" si="38"/>
        <v>3.2932948090012681E-2</v>
      </c>
      <c r="L195">
        <v>4.3990993379783294E-3</v>
      </c>
      <c r="M195">
        <f t="shared" si="31"/>
        <v>3.2932948090012681E-2</v>
      </c>
      <c r="N195">
        <f t="shared" si="39"/>
        <v>1.17566565075105E-2</v>
      </c>
      <c r="O195">
        <v>5.6159444347097998E-8</v>
      </c>
      <c r="P195">
        <v>1.1756600348066153E-2</v>
      </c>
      <c r="Q195">
        <v>0.98824334349248955</v>
      </c>
      <c r="R195">
        <f t="shared" si="32"/>
        <v>1</v>
      </c>
      <c r="S195">
        <f t="shared" si="33"/>
        <v>200</v>
      </c>
      <c r="T195">
        <v>12.34443036546946</v>
      </c>
      <c r="U195">
        <f t="shared" si="40"/>
        <v>212.55461849717199</v>
      </c>
      <c r="V195">
        <f t="shared" si="34"/>
        <v>5.8783282537552498E-3</v>
      </c>
      <c r="W195">
        <f t="shared" si="41"/>
        <v>5.9784199065804743E-3</v>
      </c>
    </row>
    <row r="196" spans="1:23">
      <c r="A196" s="2">
        <v>193</v>
      </c>
      <c r="B196" s="2">
        <v>81.083333300000007</v>
      </c>
      <c r="C196">
        <f t="shared" si="42"/>
        <v>0.57505498708895542</v>
      </c>
      <c r="D196" s="21">
        <v>4.8947602266872402E-8</v>
      </c>
      <c r="E196">
        <f t="shared" ref="E196:E259" si="43">-LN(D196/D195)*psa_hrscl_pfs_VtUs</f>
        <v>0.13744448109953677</v>
      </c>
      <c r="F196" s="22">
        <f t="shared" si="35"/>
        <v>4.8947602266872402E-8</v>
      </c>
      <c r="G196">
        <f t="shared" si="36"/>
        <v>0.12841726203080328</v>
      </c>
      <c r="H196" s="21">
        <v>1.13692767989513E-2</v>
      </c>
      <c r="I196">
        <f t="shared" ref="I196:I259" si="44">-LN(H196/H195)*PSA_trtHRsclr_os_VtUs</f>
        <v>3.3504891794114394E-2</v>
      </c>
      <c r="J196" s="22">
        <f t="shared" si="37"/>
        <v>1.13692767989513E-2</v>
      </c>
      <c r="K196">
        <f t="shared" si="38"/>
        <v>3.2949819390549528E-2</v>
      </c>
      <c r="L196">
        <v>4.3990993379783294E-3</v>
      </c>
      <c r="M196">
        <f t="shared" ref="M196:M259" si="45">MAX(K196:L196)</f>
        <v>3.2949819390549528E-2</v>
      </c>
      <c r="N196">
        <f t="shared" si="39"/>
        <v>1.13692767989513E-2</v>
      </c>
      <c r="O196">
        <v>4.8947602266872402E-8</v>
      </c>
      <c r="P196">
        <v>1.1369227851349034E-2</v>
      </c>
      <c r="Q196">
        <v>0.98863072320104872</v>
      </c>
      <c r="R196">
        <f t="shared" ref="R196:R259" si="46">SUM(O196:Q196)</f>
        <v>1</v>
      </c>
      <c r="S196">
        <f t="shared" ref="S196:S259" si="47">IF(A196&lt;24,O196*trt_lst_price*(1-trt_pas_disc),Mntr_Adm_cst_VtUs)</f>
        <v>200</v>
      </c>
      <c r="T196">
        <v>11.937689243916486</v>
      </c>
      <c r="U196">
        <f t="shared" si="40"/>
        <v>212.14105980469296</v>
      </c>
      <c r="V196">
        <f t="shared" ref="V196:V259" si="48">IF(A195&lt;=3,pd_ulty_VtUs-Utlty_AE_Disutlt,pd_ulty_VtUs)*O196+pd_ulty_VtUs*P196</f>
        <v>5.6846383994756501E-3</v>
      </c>
      <c r="W196">
        <f t="shared" si="41"/>
        <v>5.7814833266154504E-3</v>
      </c>
    </row>
    <row r="197" spans="1:23">
      <c r="A197" s="2">
        <v>194</v>
      </c>
      <c r="B197" s="2">
        <v>81.166666699999993</v>
      </c>
      <c r="C197">
        <f t="shared" si="42"/>
        <v>0.57340878853245036</v>
      </c>
      <c r="D197" s="21">
        <v>4.2655806148432802E-8</v>
      </c>
      <c r="E197">
        <f t="shared" si="43"/>
        <v>0.13758698501095915</v>
      </c>
      <c r="F197" s="22">
        <f t="shared" ref="F197:F260" si="49">D196*EXP(-E197)</f>
        <v>4.2655806148432802E-8</v>
      </c>
      <c r="G197">
        <f t="shared" ref="G197:G260" si="50">1-D197/D196</f>
        <v>0.12854145713073817</v>
      </c>
      <c r="H197" s="21">
        <v>1.0994470265373301E-2</v>
      </c>
      <c r="I197">
        <f t="shared" si="44"/>
        <v>3.3522256413708637E-2</v>
      </c>
      <c r="J197" s="22">
        <f t="shared" ref="J197:J260" si="51">H196*EXP(-I197)</f>
        <v>1.0994470265373301E-2</v>
      </c>
      <c r="K197">
        <f t="shared" ref="K197:K260" si="52">1-J197/J196</f>
        <v>3.2966611703267867E-2</v>
      </c>
      <c r="L197">
        <v>4.3990993379783294E-3</v>
      </c>
      <c r="M197">
        <f t="shared" si="45"/>
        <v>3.2966611703267867E-2</v>
      </c>
      <c r="N197">
        <f t="shared" ref="N197:N260" si="53">N196*(1-M197)</f>
        <v>1.0994470265373301E-2</v>
      </c>
      <c r="O197">
        <v>4.2655806148432802E-8</v>
      </c>
      <c r="P197">
        <v>1.0994427609567153E-2</v>
      </c>
      <c r="Q197">
        <v>0.98900552973462674</v>
      </c>
      <c r="R197">
        <f t="shared" si="46"/>
        <v>1</v>
      </c>
      <c r="S197">
        <f t="shared" si="47"/>
        <v>200</v>
      </c>
      <c r="T197">
        <v>11.54414899004551</v>
      </c>
      <c r="U197">
        <f t="shared" ref="U197:U260" si="54">(S197+T197+S196+T196)/2</f>
        <v>211.74091911698102</v>
      </c>
      <c r="V197">
        <f t="shared" si="48"/>
        <v>5.4972351326866504E-3</v>
      </c>
      <c r="W197">
        <f t="shared" si="41"/>
        <v>5.5909367660811502E-3</v>
      </c>
    </row>
    <row r="198" spans="1:23">
      <c r="A198" s="2">
        <v>195</v>
      </c>
      <c r="B198" s="2">
        <v>81.25</v>
      </c>
      <c r="C198">
        <f t="shared" si="42"/>
        <v>0.57176730251604702</v>
      </c>
      <c r="D198" s="21">
        <v>3.7167491636540898E-8</v>
      </c>
      <c r="E198">
        <f t="shared" si="43"/>
        <v>0.13772890096914908</v>
      </c>
      <c r="F198" s="22">
        <f t="shared" si="49"/>
        <v>3.7167491636540898E-8</v>
      </c>
      <c r="G198">
        <f t="shared" si="50"/>
        <v>0.12866512222963922</v>
      </c>
      <c r="H198" s="21">
        <v>1.06318360705773E-2</v>
      </c>
      <c r="I198">
        <f t="shared" si="44"/>
        <v>3.3539540454303261E-2</v>
      </c>
      <c r="J198" s="22">
        <f t="shared" si="51"/>
        <v>1.06318360705773E-2</v>
      </c>
      <c r="K198">
        <f t="shared" si="52"/>
        <v>3.2983325803163543E-2</v>
      </c>
      <c r="L198">
        <v>4.3990993379783294E-3</v>
      </c>
      <c r="M198">
        <f t="shared" si="45"/>
        <v>3.2983325803163543E-2</v>
      </c>
      <c r="N198">
        <f t="shared" si="53"/>
        <v>1.06318360705773E-2</v>
      </c>
      <c r="O198">
        <v>3.7167491636540898E-8</v>
      </c>
      <c r="P198">
        <v>1.0631798903085663E-2</v>
      </c>
      <c r="Q198">
        <v>0.98936816392942273</v>
      </c>
      <c r="R198">
        <f t="shared" si="46"/>
        <v>1</v>
      </c>
      <c r="S198">
        <f t="shared" si="47"/>
        <v>200</v>
      </c>
      <c r="T198">
        <v>11.163388848239947</v>
      </c>
      <c r="U198">
        <f t="shared" si="54"/>
        <v>211.35376891914274</v>
      </c>
      <c r="V198">
        <f t="shared" si="48"/>
        <v>5.3159180352886498E-3</v>
      </c>
      <c r="W198">
        <f t="shared" ref="W198:W261" si="55">(V197+V198)/2</f>
        <v>5.4065765839876496E-3</v>
      </c>
    </row>
    <row r="199" spans="1:23">
      <c r="A199" s="2">
        <v>196</v>
      </c>
      <c r="B199" s="2">
        <v>81.333333300000007</v>
      </c>
      <c r="C199">
        <f t="shared" si="42"/>
        <v>0.57013051554925032</v>
      </c>
      <c r="D199" s="21">
        <v>3.2380754975404898E-8</v>
      </c>
      <c r="E199">
        <f t="shared" si="43"/>
        <v>0.13787023440422669</v>
      </c>
      <c r="F199" s="22">
        <f t="shared" si="49"/>
        <v>3.2380754975404898E-8</v>
      </c>
      <c r="G199">
        <f t="shared" si="50"/>
        <v>0.12878826227890938</v>
      </c>
      <c r="H199" s="21">
        <v>1.02809858794342E-2</v>
      </c>
      <c r="I199">
        <f t="shared" si="44"/>
        <v>3.3556744701247428E-2</v>
      </c>
      <c r="J199" s="22">
        <f t="shared" si="51"/>
        <v>1.02809858794342E-2</v>
      </c>
      <c r="K199">
        <f t="shared" si="52"/>
        <v>3.2999962453714615E-2</v>
      </c>
      <c r="L199">
        <v>4.3990993379783294E-3</v>
      </c>
      <c r="M199">
        <f t="shared" si="45"/>
        <v>3.2999962453714615E-2</v>
      </c>
      <c r="N199">
        <f t="shared" si="53"/>
        <v>1.02809858794342E-2</v>
      </c>
      <c r="O199">
        <v>3.2380754975404898E-8</v>
      </c>
      <c r="P199">
        <v>1.0280953498679225E-2</v>
      </c>
      <c r="Q199">
        <v>0.98971901412056584</v>
      </c>
      <c r="R199">
        <f t="shared" si="46"/>
        <v>1</v>
      </c>
      <c r="S199">
        <f t="shared" si="47"/>
        <v>200</v>
      </c>
      <c r="T199">
        <v>10.795001173613187</v>
      </c>
      <c r="U199">
        <f t="shared" si="54"/>
        <v>210.97919501092656</v>
      </c>
      <c r="V199">
        <f t="shared" si="48"/>
        <v>5.1404929397171001E-3</v>
      </c>
      <c r="W199">
        <f t="shared" si="55"/>
        <v>5.2282054875028745E-3</v>
      </c>
    </row>
    <row r="200" spans="1:23">
      <c r="A200" s="2">
        <v>197</v>
      </c>
      <c r="B200" s="2">
        <v>81.416666699999993</v>
      </c>
      <c r="C200">
        <f t="shared" si="42"/>
        <v>0.56849841418018321</v>
      </c>
      <c r="D200" s="21">
        <v>2.8206523286560301E-8</v>
      </c>
      <c r="E200">
        <f t="shared" si="43"/>
        <v>0.13801099066869743</v>
      </c>
      <c r="F200" s="22">
        <f t="shared" si="49"/>
        <v>2.8206523286560301E-8</v>
      </c>
      <c r="G200">
        <f t="shared" si="50"/>
        <v>0.12891088215871349</v>
      </c>
      <c r="H200" s="21">
        <v>9.9415434787790795E-3</v>
      </c>
      <c r="I200">
        <f t="shared" si="44"/>
        <v>3.3573869928248845E-2</v>
      </c>
      <c r="J200" s="22">
        <f t="shared" si="51"/>
        <v>9.9415434787790795E-3</v>
      </c>
      <c r="K200">
        <f t="shared" si="52"/>
        <v>3.3016522407071092E-2</v>
      </c>
      <c r="L200">
        <v>4.3990993379783294E-3</v>
      </c>
      <c r="M200">
        <f t="shared" si="45"/>
        <v>3.3016522407071092E-2</v>
      </c>
      <c r="N200">
        <f t="shared" si="53"/>
        <v>9.9415434787790795E-3</v>
      </c>
      <c r="O200">
        <v>2.8206523286560301E-8</v>
      </c>
      <c r="P200">
        <v>9.9415152722557923E-3</v>
      </c>
      <c r="Q200">
        <v>0.99005845652122093</v>
      </c>
      <c r="R200">
        <f t="shared" si="46"/>
        <v>1</v>
      </c>
      <c r="S200">
        <f t="shared" si="47"/>
        <v>200</v>
      </c>
      <c r="T200">
        <v>10.438591035868582</v>
      </c>
      <c r="U200">
        <f t="shared" si="54"/>
        <v>210.61679610474087</v>
      </c>
      <c r="V200">
        <f t="shared" si="48"/>
        <v>4.9707717393895397E-3</v>
      </c>
      <c r="W200">
        <f t="shared" si="55"/>
        <v>5.0556323395533204E-3</v>
      </c>
    </row>
    <row r="201" spans="1:23">
      <c r="A201" s="2">
        <v>198</v>
      </c>
      <c r="B201" s="2">
        <v>81.5</v>
      </c>
      <c r="C201">
        <f t="shared" si="42"/>
        <v>0.56687098499547806</v>
      </c>
      <c r="D201" s="21">
        <v>2.4566951343054801E-8</v>
      </c>
      <c r="E201">
        <f t="shared" si="43"/>
        <v>0.13815117503893884</v>
      </c>
      <c r="F201" s="22">
        <f t="shared" si="49"/>
        <v>2.4566951343054801E-8</v>
      </c>
      <c r="G201">
        <f t="shared" si="50"/>
        <v>0.12903298667934959</v>
      </c>
      <c r="H201" s="21">
        <v>9.6131444093757804E-3</v>
      </c>
      <c r="I201">
        <f t="shared" si="44"/>
        <v>3.3590916897642605E-2</v>
      </c>
      <c r="J201" s="22">
        <f t="shared" si="51"/>
        <v>9.6131444093757804E-3</v>
      </c>
      <c r="K201">
        <f t="shared" si="52"/>
        <v>3.303300640431639E-2</v>
      </c>
      <c r="L201">
        <v>4.3990993379783294E-3</v>
      </c>
      <c r="M201">
        <f t="shared" si="45"/>
        <v>3.303300640431639E-2</v>
      </c>
      <c r="N201">
        <f t="shared" si="53"/>
        <v>9.6131444093757804E-3</v>
      </c>
      <c r="O201">
        <v>2.4566951343054801E-8</v>
      </c>
      <c r="P201">
        <v>9.6131198424244373E-3</v>
      </c>
      <c r="Q201">
        <v>0.99038685559062423</v>
      </c>
      <c r="R201">
        <f t="shared" si="46"/>
        <v>1</v>
      </c>
      <c r="S201">
        <f t="shared" si="47"/>
        <v>200</v>
      </c>
      <c r="T201">
        <v>10.09377583454566</v>
      </c>
      <c r="U201">
        <f t="shared" si="54"/>
        <v>210.26618343520713</v>
      </c>
      <c r="V201">
        <f t="shared" si="48"/>
        <v>4.8065722046878902E-3</v>
      </c>
      <c r="W201">
        <f t="shared" si="55"/>
        <v>4.888671972038715E-3</v>
      </c>
    </row>
    <row r="202" spans="1:23">
      <c r="A202" s="2">
        <v>199</v>
      </c>
      <c r="B202" s="2">
        <v>81.583333300000007</v>
      </c>
      <c r="C202">
        <f t="shared" si="42"/>
        <v>0.56524821462016461</v>
      </c>
      <c r="D202" s="21">
        <v>2.13940170461486E-8</v>
      </c>
      <c r="E202">
        <f t="shared" si="43"/>
        <v>0.1382907927167045</v>
      </c>
      <c r="F202" s="22">
        <f t="shared" si="49"/>
        <v>2.13940170461486E-8</v>
      </c>
      <c r="G202">
        <f t="shared" si="50"/>
        <v>0.12915458058263318</v>
      </c>
      <c r="H202" s="21">
        <v>9.2954356086468407E-3</v>
      </c>
      <c r="I202">
        <f t="shared" si="44"/>
        <v>3.3607886360578543E-2</v>
      </c>
      <c r="J202" s="22">
        <f t="shared" si="51"/>
        <v>9.2954356086468407E-3</v>
      </c>
      <c r="K202">
        <f t="shared" si="52"/>
        <v>3.3049415175650076E-2</v>
      </c>
      <c r="L202">
        <v>4.3990993379783294E-3</v>
      </c>
      <c r="M202">
        <f t="shared" si="45"/>
        <v>3.3049415175650076E-2</v>
      </c>
      <c r="N202">
        <f t="shared" si="53"/>
        <v>9.2954356086468407E-3</v>
      </c>
      <c r="O202">
        <v>2.13940170461486E-8</v>
      </c>
      <c r="P202">
        <v>9.2954142146297949E-3</v>
      </c>
      <c r="Q202">
        <v>0.99070456439135313</v>
      </c>
      <c r="R202">
        <f t="shared" si="46"/>
        <v>1</v>
      </c>
      <c r="S202">
        <f t="shared" si="47"/>
        <v>200</v>
      </c>
      <c r="T202">
        <v>9.7601849253612851</v>
      </c>
      <c r="U202">
        <f t="shared" si="54"/>
        <v>209.92698037995348</v>
      </c>
      <c r="V202">
        <f t="shared" si="48"/>
        <v>4.6477178043234204E-3</v>
      </c>
      <c r="W202">
        <f t="shared" si="55"/>
        <v>4.7271450045056548E-3</v>
      </c>
    </row>
    <row r="203" spans="1:23">
      <c r="A203" s="2">
        <v>200</v>
      </c>
      <c r="B203" s="2">
        <v>81.666666699999993</v>
      </c>
      <c r="C203">
        <f t="shared" si="42"/>
        <v>0.56363008971756157</v>
      </c>
      <c r="D203" s="21">
        <v>1.8628291189684102E-8</v>
      </c>
      <c r="E203">
        <f t="shared" si="43"/>
        <v>0.13842984883048387</v>
      </c>
      <c r="F203" s="22">
        <f t="shared" si="49"/>
        <v>1.8628291189684102E-8</v>
      </c>
      <c r="G203">
        <f t="shared" si="50"/>
        <v>0.1292756685431542</v>
      </c>
      <c r="H203" s="21">
        <v>8.9880750638698503E-3</v>
      </c>
      <c r="I203">
        <f t="shared" si="44"/>
        <v>3.3624779057266137E-2</v>
      </c>
      <c r="J203" s="22">
        <f t="shared" si="51"/>
        <v>8.9880750638698503E-3</v>
      </c>
      <c r="K203">
        <f t="shared" si="52"/>
        <v>3.3065749440626124E-2</v>
      </c>
      <c r="L203">
        <v>4.3990993379783294E-3</v>
      </c>
      <c r="M203">
        <f t="shared" si="45"/>
        <v>3.3065749440626124E-2</v>
      </c>
      <c r="N203">
        <f t="shared" si="53"/>
        <v>8.9880750638698503E-3</v>
      </c>
      <c r="O203">
        <v>1.8628291189684102E-8</v>
      </c>
      <c r="P203">
        <v>8.9880564355786612E-3</v>
      </c>
      <c r="Q203">
        <v>0.99101192493613011</v>
      </c>
      <c r="R203">
        <f t="shared" si="46"/>
        <v>1</v>
      </c>
      <c r="S203">
        <f t="shared" si="47"/>
        <v>200</v>
      </c>
      <c r="T203">
        <v>9.4374592573575935</v>
      </c>
      <c r="U203">
        <f t="shared" si="54"/>
        <v>209.59882209135944</v>
      </c>
      <c r="V203">
        <f t="shared" si="48"/>
        <v>4.4940375319349251E-3</v>
      </c>
      <c r="W203">
        <f t="shared" si="55"/>
        <v>4.5708776681291727E-3</v>
      </c>
    </row>
    <row r="204" spans="1:23">
      <c r="A204" s="2">
        <v>201</v>
      </c>
      <c r="B204" s="2">
        <v>81.75</v>
      </c>
      <c r="C204">
        <f t="shared" si="42"/>
        <v>0.5620165969891654</v>
      </c>
      <c r="D204" s="21">
        <v>1.6217860069530002E-8</v>
      </c>
      <c r="E204">
        <f t="shared" si="43"/>
        <v>0.1385683484369479</v>
      </c>
      <c r="F204" s="22">
        <f t="shared" si="49"/>
        <v>1.6217860069530002E-8</v>
      </c>
      <c r="G204">
        <f t="shared" si="50"/>
        <v>0.12939625516960673</v>
      </c>
      <c r="H204" s="21">
        <v>8.6907314755499208E-3</v>
      </c>
      <c r="I204">
        <f t="shared" si="44"/>
        <v>3.3641595717176093E-2</v>
      </c>
      <c r="J204" s="22">
        <f t="shared" si="51"/>
        <v>8.6907314755499208E-3</v>
      </c>
      <c r="K204">
        <f t="shared" si="52"/>
        <v>3.3082009908349308E-2</v>
      </c>
      <c r="L204">
        <v>4.3990993379783294E-3</v>
      </c>
      <c r="M204">
        <f t="shared" si="45"/>
        <v>3.3082009908349308E-2</v>
      </c>
      <c r="N204">
        <f t="shared" si="53"/>
        <v>8.6907314755499208E-3</v>
      </c>
      <c r="O204">
        <v>1.6217860069530002E-8</v>
      </c>
      <c r="P204">
        <v>8.690715257689852E-3</v>
      </c>
      <c r="Q204">
        <v>0.99130926852445012</v>
      </c>
      <c r="R204">
        <f t="shared" si="46"/>
        <v>1</v>
      </c>
      <c r="S204">
        <f t="shared" si="47"/>
        <v>200</v>
      </c>
      <c r="T204">
        <v>9.1252510205743445</v>
      </c>
      <c r="U204">
        <f t="shared" si="54"/>
        <v>209.28135513896598</v>
      </c>
      <c r="V204">
        <f t="shared" si="48"/>
        <v>4.3453657377749604E-3</v>
      </c>
      <c r="W204">
        <f t="shared" si="55"/>
        <v>4.4197016348549428E-3</v>
      </c>
    </row>
    <row r="205" spans="1:23">
      <c r="A205" s="2">
        <v>202</v>
      </c>
      <c r="B205" s="2">
        <v>81.833333300000007</v>
      </c>
      <c r="C205">
        <f t="shared" si="42"/>
        <v>0.56040772317454302</v>
      </c>
      <c r="D205" s="21">
        <v>1.41173821095052E-8</v>
      </c>
      <c r="E205">
        <f t="shared" si="43"/>
        <v>0.13870629652229743</v>
      </c>
      <c r="F205" s="22">
        <f t="shared" si="49"/>
        <v>1.41173821095052E-8</v>
      </c>
      <c r="G205">
        <f t="shared" si="50"/>
        <v>0.12951634500603226</v>
      </c>
      <c r="H205" s="21">
        <v>8.4030839306848196E-3</v>
      </c>
      <c r="I205">
        <f t="shared" si="44"/>
        <v>3.3658337059251545E-2</v>
      </c>
      <c r="J205" s="22">
        <f t="shared" si="51"/>
        <v>8.4030839306848196E-3</v>
      </c>
      <c r="K205">
        <f t="shared" si="52"/>
        <v>3.3098197277680819E-2</v>
      </c>
      <c r="L205">
        <v>4.3990993379783294E-3</v>
      </c>
      <c r="M205">
        <f t="shared" si="45"/>
        <v>3.3098197277680819E-2</v>
      </c>
      <c r="N205">
        <f t="shared" si="53"/>
        <v>8.4030839306848196E-3</v>
      </c>
      <c r="O205">
        <v>1.41173821095052E-8</v>
      </c>
      <c r="P205">
        <v>8.4030698133027108E-3</v>
      </c>
      <c r="Q205">
        <v>0.99159691606931522</v>
      </c>
      <c r="R205">
        <f t="shared" si="46"/>
        <v>1</v>
      </c>
      <c r="S205">
        <f t="shared" si="47"/>
        <v>200</v>
      </c>
      <c r="T205">
        <v>8.8232233039678469</v>
      </c>
      <c r="U205">
        <f t="shared" si="54"/>
        <v>208.97423716227109</v>
      </c>
      <c r="V205">
        <f t="shared" si="48"/>
        <v>4.2015419653424098E-3</v>
      </c>
      <c r="W205">
        <f t="shared" si="55"/>
        <v>4.2734538515586847E-3</v>
      </c>
    </row>
    <row r="206" spans="1:23">
      <c r="A206" s="2">
        <v>203</v>
      </c>
      <c r="B206" s="2">
        <v>81.916666699999993</v>
      </c>
      <c r="C206">
        <f t="shared" si="42"/>
        <v>0.55880345505122098</v>
      </c>
      <c r="D206" s="21">
        <v>1.22872619736406E-8</v>
      </c>
      <c r="E206">
        <f t="shared" si="43"/>
        <v>0.13884369800357213</v>
      </c>
      <c r="F206" s="22">
        <f t="shared" si="49"/>
        <v>1.22872619736406E-8</v>
      </c>
      <c r="G206">
        <f t="shared" si="50"/>
        <v>0.12963594253302702</v>
      </c>
      <c r="H206" s="21">
        <v>8.1248215856467403E-3</v>
      </c>
      <c r="I206">
        <f t="shared" si="44"/>
        <v>3.3675003792111233E-2</v>
      </c>
      <c r="J206" s="22">
        <f t="shared" si="51"/>
        <v>8.1248215856467403E-3</v>
      </c>
      <c r="K206">
        <f t="shared" si="52"/>
        <v>3.3114312237436105E-2</v>
      </c>
      <c r="L206">
        <v>4.3990993379783294E-3</v>
      </c>
      <c r="M206">
        <f t="shared" si="45"/>
        <v>3.3114312237436105E-2</v>
      </c>
      <c r="N206">
        <f t="shared" si="53"/>
        <v>8.1248215856467403E-3</v>
      </c>
      <c r="O206">
        <v>1.22872619736406E-8</v>
      </c>
      <c r="P206">
        <v>8.1248092983847667E-3</v>
      </c>
      <c r="Q206">
        <v>0.99187517841435324</v>
      </c>
      <c r="R206">
        <f t="shared" si="46"/>
        <v>1</v>
      </c>
      <c r="S206">
        <f t="shared" si="47"/>
        <v>200</v>
      </c>
      <c r="T206">
        <v>8.5310497633040043</v>
      </c>
      <c r="U206">
        <f t="shared" si="54"/>
        <v>208.67713653363592</v>
      </c>
      <c r="V206">
        <f t="shared" si="48"/>
        <v>4.0624107928233701E-3</v>
      </c>
      <c r="W206">
        <f t="shared" si="55"/>
        <v>4.13197637908289E-3</v>
      </c>
    </row>
    <row r="207" spans="1:23">
      <c r="A207" s="2">
        <v>204</v>
      </c>
      <c r="B207" s="2">
        <v>82</v>
      </c>
      <c r="C207">
        <f t="shared" si="42"/>
        <v>0.55720377943457755</v>
      </c>
      <c r="D207" s="21">
        <v>1.06929276552375E-8</v>
      </c>
      <c r="E207">
        <f t="shared" si="43"/>
        <v>0.13898055772994458</v>
      </c>
      <c r="F207" s="22">
        <f t="shared" si="49"/>
        <v>1.06929276552375E-8</v>
      </c>
      <c r="G207">
        <f t="shared" si="50"/>
        <v>0.12975505216893435</v>
      </c>
      <c r="H207" s="21">
        <v>7.8556433584117194E-3</v>
      </c>
      <c r="I207">
        <f t="shared" si="44"/>
        <v>3.3691596614250204E-2</v>
      </c>
      <c r="J207" s="22">
        <f t="shared" si="51"/>
        <v>7.8556433584117194E-3</v>
      </c>
      <c r="K207">
        <f t="shared" si="52"/>
        <v>3.3130355466580275E-2</v>
      </c>
      <c r="L207">
        <v>5.0219559329856001E-3</v>
      </c>
      <c r="M207">
        <f t="shared" si="45"/>
        <v>3.3130355466580275E-2</v>
      </c>
      <c r="N207">
        <f t="shared" si="53"/>
        <v>7.8556433584117194E-3</v>
      </c>
      <c r="O207">
        <v>1.06929276552375E-8</v>
      </c>
      <c r="P207">
        <v>7.855632665484065E-3</v>
      </c>
      <c r="Q207">
        <v>0.99214435664158829</v>
      </c>
      <c r="R207">
        <f t="shared" si="46"/>
        <v>1</v>
      </c>
      <c r="S207">
        <f t="shared" si="47"/>
        <v>200</v>
      </c>
      <c r="T207">
        <v>8.2484142987582683</v>
      </c>
      <c r="U207">
        <f t="shared" si="54"/>
        <v>208.38973203103112</v>
      </c>
      <c r="V207">
        <f t="shared" si="48"/>
        <v>3.9278216792058597E-3</v>
      </c>
      <c r="W207">
        <f t="shared" si="55"/>
        <v>3.9951162360146149E-3</v>
      </c>
    </row>
    <row r="208" spans="1:23">
      <c r="A208" s="2">
        <v>205</v>
      </c>
      <c r="B208" s="2">
        <v>82.083333300000007</v>
      </c>
      <c r="C208">
        <f t="shared" si="42"/>
        <v>0.55560868317773493</v>
      </c>
      <c r="D208" s="21">
        <v>9.3041978091655999E-9</v>
      </c>
      <c r="E208">
        <f t="shared" si="43"/>
        <v>0.13911688048402773</v>
      </c>
      <c r="F208" s="22">
        <f t="shared" si="49"/>
        <v>9.3041978091655999E-9</v>
      </c>
      <c r="G208">
        <f t="shared" si="50"/>
        <v>0.12987367827104745</v>
      </c>
      <c r="H208" s="21">
        <v>7.5952576298747203E-3</v>
      </c>
      <c r="I208">
        <f t="shared" si="44"/>
        <v>3.3708116214227563E-2</v>
      </c>
      <c r="J208" s="22">
        <f t="shared" si="51"/>
        <v>7.5952576298747203E-3</v>
      </c>
      <c r="K208">
        <f t="shared" si="52"/>
        <v>3.3146327634410944E-2</v>
      </c>
      <c r="L208">
        <v>5.0219559329856001E-3</v>
      </c>
      <c r="M208">
        <f t="shared" si="45"/>
        <v>3.3146327634410944E-2</v>
      </c>
      <c r="N208">
        <f t="shared" si="53"/>
        <v>7.5952576298747203E-3</v>
      </c>
      <c r="O208">
        <v>9.3041978091655999E-9</v>
      </c>
      <c r="P208">
        <v>7.5952483256769114E-3</v>
      </c>
      <c r="Q208">
        <v>0.99240474237012533</v>
      </c>
      <c r="R208">
        <f t="shared" si="46"/>
        <v>1</v>
      </c>
      <c r="S208">
        <f t="shared" si="47"/>
        <v>200</v>
      </c>
      <c r="T208">
        <v>7.975010741960757</v>
      </c>
      <c r="U208">
        <f t="shared" si="54"/>
        <v>208.11171252035953</v>
      </c>
      <c r="V208">
        <f t="shared" si="48"/>
        <v>3.7976288149373602E-3</v>
      </c>
      <c r="W208">
        <f t="shared" si="55"/>
        <v>3.8627252470716097E-3</v>
      </c>
    </row>
    <row r="209" spans="1:23">
      <c r="A209" s="2">
        <v>206</v>
      </c>
      <c r="B209" s="2">
        <v>82.166666699999993</v>
      </c>
      <c r="C209">
        <f t="shared" si="42"/>
        <v>0.55401815317144953</v>
      </c>
      <c r="D209" s="21">
        <v>8.0947281545194295E-9</v>
      </c>
      <c r="E209">
        <f t="shared" si="43"/>
        <v>0.13925267098303709</v>
      </c>
      <c r="F209" s="22">
        <f t="shared" si="49"/>
        <v>8.0947281545194295E-9</v>
      </c>
      <c r="G209">
        <f t="shared" si="50"/>
        <v>0.12999182513668373</v>
      </c>
      <c r="H209" s="21">
        <v>7.3433819539950101E-3</v>
      </c>
      <c r="I209">
        <f t="shared" si="44"/>
        <v>3.3724563270864601E-2</v>
      </c>
      <c r="J209" s="22">
        <f t="shared" si="51"/>
        <v>7.3433819539950101E-3</v>
      </c>
      <c r="K209">
        <f t="shared" si="52"/>
        <v>3.3162229400751086E-2</v>
      </c>
      <c r="L209">
        <v>5.0219559329856001E-3</v>
      </c>
      <c r="M209">
        <f t="shared" si="45"/>
        <v>3.3162229400751086E-2</v>
      </c>
      <c r="N209">
        <f t="shared" si="53"/>
        <v>7.3433819539950101E-3</v>
      </c>
      <c r="O209">
        <v>8.0947281545194295E-9</v>
      </c>
      <c r="P209">
        <v>7.3433738592668558E-3</v>
      </c>
      <c r="Q209">
        <v>0.99265661804600502</v>
      </c>
      <c r="R209">
        <f t="shared" si="46"/>
        <v>1</v>
      </c>
      <c r="S209">
        <f t="shared" si="47"/>
        <v>200</v>
      </c>
      <c r="T209">
        <v>7.7105425522301987</v>
      </c>
      <c r="U209">
        <f t="shared" si="54"/>
        <v>207.84277664709549</v>
      </c>
      <c r="V209">
        <f t="shared" si="48"/>
        <v>3.6716909769975051E-3</v>
      </c>
      <c r="W209">
        <f t="shared" si="55"/>
        <v>3.7346598959674326E-3</v>
      </c>
    </row>
    <row r="210" spans="1:23">
      <c r="A210" s="2">
        <v>207</v>
      </c>
      <c r="B210" s="2">
        <v>82.25</v>
      </c>
      <c r="C210">
        <f t="shared" si="42"/>
        <v>0.55243217634400688</v>
      </c>
      <c r="D210" s="21">
        <v>7.0415271459478003E-9</v>
      </c>
      <c r="E210">
        <f t="shared" si="43"/>
        <v>0.13938793388008086</v>
      </c>
      <c r="F210" s="22">
        <f t="shared" si="49"/>
        <v>7.0415271459478003E-9</v>
      </c>
      <c r="G210">
        <f t="shared" si="50"/>
        <v>0.13010949700436925</v>
      </c>
      <c r="H210" s="21">
        <v>7.0997427765233396E-3</v>
      </c>
      <c r="I210">
        <f t="shared" si="44"/>
        <v>3.3740938453419883E-2</v>
      </c>
      <c r="J210" s="22">
        <f t="shared" si="51"/>
        <v>7.0997427765233396E-3</v>
      </c>
      <c r="K210">
        <f t="shared" si="52"/>
        <v>3.3178061416119564E-2</v>
      </c>
      <c r="L210">
        <v>5.0219559329856001E-3</v>
      </c>
      <c r="M210">
        <f t="shared" si="45"/>
        <v>3.3178061416119564E-2</v>
      </c>
      <c r="N210">
        <f t="shared" si="53"/>
        <v>7.0997427765233396E-3</v>
      </c>
      <c r="O210">
        <v>7.0415271459478003E-9</v>
      </c>
      <c r="P210">
        <v>7.0997357349961935E-3</v>
      </c>
      <c r="Q210">
        <v>0.99290025722347663</v>
      </c>
      <c r="R210">
        <f t="shared" si="46"/>
        <v>1</v>
      </c>
      <c r="S210">
        <f t="shared" si="47"/>
        <v>200</v>
      </c>
      <c r="T210">
        <v>7.4547225217460031</v>
      </c>
      <c r="U210">
        <f t="shared" si="54"/>
        <v>207.58263253698811</v>
      </c>
      <c r="V210">
        <f t="shared" si="48"/>
        <v>3.5498713882616698E-3</v>
      </c>
      <c r="W210">
        <f t="shared" si="55"/>
        <v>3.6107811826295872E-3</v>
      </c>
    </row>
    <row r="211" spans="1:23">
      <c r="A211" s="2">
        <v>208</v>
      </c>
      <c r="B211" s="2">
        <v>82.333333300000007</v>
      </c>
      <c r="C211">
        <f t="shared" si="42"/>
        <v>0.55085073966111142</v>
      </c>
      <c r="D211" s="21">
        <v>6.1245323164673702E-9</v>
      </c>
      <c r="E211">
        <f t="shared" si="43"/>
        <v>0.13952267376526234</v>
      </c>
      <c r="F211" s="22">
        <f t="shared" si="49"/>
        <v>6.1245323164673702E-9</v>
      </c>
      <c r="G211">
        <f t="shared" si="50"/>
        <v>0.13022669805485798</v>
      </c>
      <c r="H211" s="21">
        <v>6.8640751620686899E-3</v>
      </c>
      <c r="I211">
        <f t="shared" si="44"/>
        <v>3.3757242421770653E-2</v>
      </c>
      <c r="J211" s="22">
        <f t="shared" si="51"/>
        <v>6.8640751620686899E-3</v>
      </c>
      <c r="K211">
        <f t="shared" si="52"/>
        <v>3.3193824321907761E-2</v>
      </c>
      <c r="L211">
        <v>5.0219559329856001E-3</v>
      </c>
      <c r="M211">
        <f t="shared" si="45"/>
        <v>3.3193824321907761E-2</v>
      </c>
      <c r="N211">
        <f t="shared" si="53"/>
        <v>6.8640751620686899E-3</v>
      </c>
      <c r="O211">
        <v>6.1245323164673702E-9</v>
      </c>
      <c r="P211">
        <v>6.8640690375363737E-3</v>
      </c>
      <c r="Q211">
        <v>0.99313592483793134</v>
      </c>
      <c r="R211">
        <f t="shared" si="46"/>
        <v>1</v>
      </c>
      <c r="S211">
        <f t="shared" si="47"/>
        <v>200</v>
      </c>
      <c r="T211">
        <v>7.2072724894131923</v>
      </c>
      <c r="U211">
        <f t="shared" si="54"/>
        <v>207.3309975055796</v>
      </c>
      <c r="V211">
        <f t="shared" si="48"/>
        <v>3.432037581034345E-3</v>
      </c>
      <c r="W211">
        <f t="shared" si="55"/>
        <v>3.4909544846480076E-3</v>
      </c>
    </row>
    <row r="212" spans="1:23">
      <c r="A212" s="2">
        <v>209</v>
      </c>
      <c r="B212" s="2">
        <v>82.416666699999993</v>
      </c>
      <c r="C212">
        <f t="shared" si="42"/>
        <v>0.5492738301257809</v>
      </c>
      <c r="D212" s="21">
        <v>5.3262397524193498E-9</v>
      </c>
      <c r="E212">
        <f t="shared" si="43"/>
        <v>0.13965689516688143</v>
      </c>
      <c r="F212" s="22">
        <f t="shared" si="49"/>
        <v>5.3262397524193498E-9</v>
      </c>
      <c r="G212">
        <f t="shared" si="50"/>
        <v>0.13034343241223612</v>
      </c>
      <c r="H212" s="21">
        <v>6.63612252926869E-3</v>
      </c>
      <c r="I212">
        <f t="shared" si="44"/>
        <v>3.3773475826602256E-2</v>
      </c>
      <c r="J212" s="22">
        <f t="shared" si="51"/>
        <v>6.63612252926869E-3</v>
      </c>
      <c r="K212">
        <f t="shared" si="52"/>
        <v>3.3209518750563882E-2</v>
      </c>
      <c r="L212">
        <v>5.0219559329856001E-3</v>
      </c>
      <c r="M212">
        <f t="shared" si="45"/>
        <v>3.3209518750563882E-2</v>
      </c>
      <c r="N212">
        <f t="shared" si="53"/>
        <v>6.63612252926869E-3</v>
      </c>
      <c r="O212">
        <v>5.3262397524193498E-9</v>
      </c>
      <c r="P212">
        <v>6.6361172030289378E-3</v>
      </c>
      <c r="Q212">
        <v>0.99336387747073129</v>
      </c>
      <c r="R212">
        <f t="shared" si="46"/>
        <v>1</v>
      </c>
      <c r="S212">
        <f t="shared" si="47"/>
        <v>200</v>
      </c>
      <c r="T212">
        <v>6.9679230631803843</v>
      </c>
      <c r="U212">
        <f t="shared" si="54"/>
        <v>207.08759777629678</v>
      </c>
      <c r="V212">
        <f t="shared" si="48"/>
        <v>3.318061264634345E-3</v>
      </c>
      <c r="W212">
        <f t="shared" si="55"/>
        <v>3.375049422834345E-3</v>
      </c>
    </row>
    <row r="213" spans="1:23">
      <c r="A213" s="2">
        <v>210</v>
      </c>
      <c r="B213" s="2">
        <v>82.5</v>
      </c>
      <c r="C213">
        <f t="shared" si="42"/>
        <v>0.54770143477823985</v>
      </c>
      <c r="D213" s="21">
        <v>4.6313800901137001E-9</v>
      </c>
      <c r="E213">
        <f t="shared" si="43"/>
        <v>0.13979060255253931</v>
      </c>
      <c r="F213" s="22">
        <f t="shared" si="49"/>
        <v>4.6313800901137001E-9</v>
      </c>
      <c r="G213">
        <f t="shared" si="50"/>
        <v>0.13045970414494057</v>
      </c>
      <c r="H213" s="21">
        <v>6.4156363938343399E-3</v>
      </c>
      <c r="I213">
        <f t="shared" si="44"/>
        <v>3.378963930955594E-2</v>
      </c>
      <c r="J213" s="22">
        <f t="shared" si="51"/>
        <v>6.4156363938343399E-3</v>
      </c>
      <c r="K213">
        <f t="shared" si="52"/>
        <v>3.322514532573706E-2</v>
      </c>
      <c r="L213">
        <v>5.0219559329856001E-3</v>
      </c>
      <c r="M213">
        <f t="shared" si="45"/>
        <v>3.322514532573706E-2</v>
      </c>
      <c r="N213">
        <f t="shared" si="53"/>
        <v>6.4156363938343399E-3</v>
      </c>
      <c r="O213">
        <v>4.6313800901137001E-9</v>
      </c>
      <c r="P213">
        <v>6.4156317624542497E-3</v>
      </c>
      <c r="Q213">
        <v>0.99358436360616564</v>
      </c>
      <c r="R213">
        <f t="shared" si="46"/>
        <v>1</v>
      </c>
      <c r="S213">
        <f t="shared" si="47"/>
        <v>200</v>
      </c>
      <c r="T213">
        <v>6.7364133505769619</v>
      </c>
      <c r="U213">
        <f t="shared" si="54"/>
        <v>206.85216820687867</v>
      </c>
      <c r="V213">
        <f t="shared" si="48"/>
        <v>3.2078181969171699E-3</v>
      </c>
      <c r="W213">
        <f t="shared" si="55"/>
        <v>3.2629397307757575E-3</v>
      </c>
    </row>
    <row r="214" spans="1:23">
      <c r="A214" s="2">
        <v>211</v>
      </c>
      <c r="B214" s="2">
        <v>82.583333300000007</v>
      </c>
      <c r="C214">
        <f t="shared" si="42"/>
        <v>0.54613354069581133</v>
      </c>
      <c r="D214" s="21">
        <v>4.0266352391880899E-9</v>
      </c>
      <c r="E214">
        <f t="shared" si="43"/>
        <v>0.13992380033023474</v>
      </c>
      <c r="F214" s="22">
        <f t="shared" si="49"/>
        <v>4.0266352391880899E-9</v>
      </c>
      <c r="G214">
        <f t="shared" si="50"/>
        <v>0.13057551726676864</v>
      </c>
      <c r="H214" s="21">
        <v>6.2023761192451397E-3</v>
      </c>
      <c r="I214">
        <f t="shared" si="44"/>
        <v>3.3805733503420289E-2</v>
      </c>
      <c r="J214" s="22">
        <f t="shared" si="51"/>
        <v>6.2023761192451397E-3</v>
      </c>
      <c r="K214">
        <f t="shared" si="52"/>
        <v>3.3240704662463538E-2</v>
      </c>
      <c r="L214">
        <v>5.0219559329856001E-3</v>
      </c>
      <c r="M214">
        <f t="shared" si="45"/>
        <v>3.3240704662463538E-2</v>
      </c>
      <c r="N214">
        <f t="shared" si="53"/>
        <v>6.2023761192451397E-3</v>
      </c>
      <c r="O214">
        <v>4.0266352391880899E-9</v>
      </c>
      <c r="P214">
        <v>6.2023720926099009E-3</v>
      </c>
      <c r="Q214">
        <v>0.99379762388075488</v>
      </c>
      <c r="R214">
        <f t="shared" si="46"/>
        <v>1</v>
      </c>
      <c r="S214">
        <f t="shared" si="47"/>
        <v>200</v>
      </c>
      <c r="T214">
        <v>6.5124906972403958</v>
      </c>
      <c r="U214">
        <f t="shared" si="54"/>
        <v>206.6244520239087</v>
      </c>
      <c r="V214">
        <f t="shared" si="48"/>
        <v>3.1011880596225699E-3</v>
      </c>
      <c r="W214">
        <f t="shared" si="55"/>
        <v>3.1545031282698699E-3</v>
      </c>
    </row>
    <row r="215" spans="1:23">
      <c r="A215" s="2">
        <v>212</v>
      </c>
      <c r="B215" s="2">
        <v>82.666666699999993</v>
      </c>
      <c r="C215">
        <f t="shared" si="42"/>
        <v>0.54457013499281315</v>
      </c>
      <c r="D215" s="21">
        <v>3.50039075350163E-9</v>
      </c>
      <c r="E215">
        <f t="shared" si="43"/>
        <v>0.14005649284944149</v>
      </c>
      <c r="F215" s="22">
        <f t="shared" si="49"/>
        <v>3.50039075350163E-9</v>
      </c>
      <c r="G215">
        <f t="shared" si="50"/>
        <v>0.13069087573787019</v>
      </c>
      <c r="H215" s="21">
        <v>5.9961086748772504E-3</v>
      </c>
      <c r="I215">
        <f t="shared" si="44"/>
        <v>3.3821759032275432E-2</v>
      </c>
      <c r="J215" s="22">
        <f t="shared" si="51"/>
        <v>5.9961086748772504E-3</v>
      </c>
      <c r="K215">
        <f t="shared" si="52"/>
        <v>3.3256197367307228E-2</v>
      </c>
      <c r="L215">
        <v>5.0219559329856001E-3</v>
      </c>
      <c r="M215">
        <f t="shared" si="45"/>
        <v>3.3256197367307228E-2</v>
      </c>
      <c r="N215">
        <f t="shared" si="53"/>
        <v>5.9961086748772504E-3</v>
      </c>
      <c r="O215">
        <v>3.50039075350163E-9</v>
      </c>
      <c r="P215">
        <v>5.9961051744864971E-3</v>
      </c>
      <c r="Q215">
        <v>0.99400389132512279</v>
      </c>
      <c r="R215">
        <f t="shared" si="46"/>
        <v>1</v>
      </c>
      <c r="S215">
        <f t="shared" si="47"/>
        <v>200</v>
      </c>
      <c r="T215">
        <v>6.295910433210822</v>
      </c>
      <c r="U215">
        <f t="shared" si="54"/>
        <v>206.40420056522561</v>
      </c>
      <c r="V215">
        <f t="shared" si="48"/>
        <v>2.9980543374386252E-3</v>
      </c>
      <c r="W215">
        <f t="shared" si="55"/>
        <v>3.0496211985305975E-3</v>
      </c>
    </row>
    <row r="216" spans="1:23">
      <c r="A216" s="2">
        <v>213</v>
      </c>
      <c r="B216" s="2">
        <v>82.75</v>
      </c>
      <c r="C216">
        <f t="shared" si="42"/>
        <v>0.54301120482044984</v>
      </c>
      <c r="D216" s="21">
        <v>3.0425193985536501E-9</v>
      </c>
      <c r="E216">
        <f t="shared" si="43"/>
        <v>0.14018868440217694</v>
      </c>
      <c r="F216" s="22">
        <f t="shared" si="49"/>
        <v>3.0425193985536501E-9</v>
      </c>
      <c r="G216">
        <f t="shared" si="50"/>
        <v>0.13080578346573069</v>
      </c>
      <c r="H216" s="21">
        <v>5.7966084013525198E-3</v>
      </c>
      <c r="I216">
        <f t="shared" si="44"/>
        <v>3.383771651167615E-2</v>
      </c>
      <c r="J216" s="22">
        <f t="shared" si="51"/>
        <v>5.7966084013525198E-3</v>
      </c>
      <c r="K216">
        <f t="shared" si="52"/>
        <v>3.3271624038537784E-2</v>
      </c>
      <c r="L216">
        <v>5.0219559329856001E-3</v>
      </c>
      <c r="M216">
        <f t="shared" si="45"/>
        <v>3.3271624038537784E-2</v>
      </c>
      <c r="N216">
        <f t="shared" si="53"/>
        <v>5.7966084013525198E-3</v>
      </c>
      <c r="O216">
        <v>3.0425193985536501E-9</v>
      </c>
      <c r="P216">
        <v>5.796605358833121E-3</v>
      </c>
      <c r="Q216">
        <v>0.99420339159864746</v>
      </c>
      <c r="R216">
        <f t="shared" si="46"/>
        <v>1</v>
      </c>
      <c r="S216">
        <f t="shared" si="47"/>
        <v>200</v>
      </c>
      <c r="T216">
        <v>6.0864356267747768</v>
      </c>
      <c r="U216">
        <f t="shared" si="54"/>
        <v>206.19117302999283</v>
      </c>
      <c r="V216">
        <f t="shared" si="48"/>
        <v>2.8983042006762599E-3</v>
      </c>
      <c r="W216">
        <f t="shared" si="55"/>
        <v>2.9481792690574425E-3</v>
      </c>
    </row>
    <row r="217" spans="1:23">
      <c r="A217" s="2">
        <v>214</v>
      </c>
      <c r="B217" s="2">
        <v>82.833333300000007</v>
      </c>
      <c r="C217">
        <f t="shared" si="42"/>
        <v>0.5414567373667083</v>
      </c>
      <c r="D217" s="21">
        <v>2.64419201558904E-9</v>
      </c>
      <c r="E217">
        <f t="shared" si="43"/>
        <v>0.1403203792239788</v>
      </c>
      <c r="F217" s="22">
        <f t="shared" si="49"/>
        <v>2.64419201558904E-9</v>
      </c>
      <c r="G217">
        <f t="shared" si="50"/>
        <v>0.13092024430607296</v>
      </c>
      <c r="H217" s="21">
        <v>5.6036567829024497E-3</v>
      </c>
      <c r="I217">
        <f t="shared" si="44"/>
        <v>3.3853606548779107E-2</v>
      </c>
      <c r="J217" s="22">
        <f t="shared" si="51"/>
        <v>5.6036567829024497E-3</v>
      </c>
      <c r="K217">
        <f t="shared" si="52"/>
        <v>3.3286985266254732E-2</v>
      </c>
      <c r="L217">
        <v>5.0219559329856001E-3</v>
      </c>
      <c r="M217">
        <f t="shared" si="45"/>
        <v>3.3286985266254732E-2</v>
      </c>
      <c r="N217">
        <f t="shared" si="53"/>
        <v>5.6036567829024497E-3</v>
      </c>
      <c r="O217">
        <v>2.64419201558904E-9</v>
      </c>
      <c r="P217">
        <v>5.6036541387104342E-3</v>
      </c>
      <c r="Q217">
        <v>0.99439634321709758</v>
      </c>
      <c r="R217">
        <f t="shared" si="46"/>
        <v>1</v>
      </c>
      <c r="S217">
        <f t="shared" si="47"/>
        <v>200</v>
      </c>
      <c r="T217">
        <v>5.8838368456459555</v>
      </c>
      <c r="U217">
        <f t="shared" si="54"/>
        <v>205.98513623621039</v>
      </c>
      <c r="V217">
        <f t="shared" si="48"/>
        <v>2.8018283914512249E-3</v>
      </c>
      <c r="W217">
        <f t="shared" si="55"/>
        <v>2.8500662960637422E-3</v>
      </c>
    </row>
    <row r="218" spans="1:23">
      <c r="A218" s="2">
        <v>215</v>
      </c>
      <c r="B218" s="2">
        <v>82.916666699999993</v>
      </c>
      <c r="C218">
        <f t="shared" si="42"/>
        <v>0.53990671985625205</v>
      </c>
      <c r="D218" s="21">
        <v>2.2977122660712299E-9</v>
      </c>
      <c r="E218">
        <f t="shared" si="43"/>
        <v>0.14045158149497736</v>
      </c>
      <c r="F218" s="22">
        <f t="shared" si="49"/>
        <v>2.2977122660712299E-9</v>
      </c>
      <c r="G218">
        <f t="shared" si="50"/>
        <v>0.13103426206384094</v>
      </c>
      <c r="H218" s="21">
        <v>5.4170422265460497E-3</v>
      </c>
      <c r="I218">
        <f t="shared" si="44"/>
        <v>3.3869429742516166E-2</v>
      </c>
      <c r="J218" s="22">
        <f t="shared" si="51"/>
        <v>5.4170422265460497E-3</v>
      </c>
      <c r="K218">
        <f t="shared" si="52"/>
        <v>3.3302281632555997E-2</v>
      </c>
      <c r="L218">
        <v>5.0219559329856001E-3</v>
      </c>
      <c r="M218">
        <f t="shared" si="45"/>
        <v>3.3302281632555997E-2</v>
      </c>
      <c r="N218">
        <f t="shared" si="53"/>
        <v>5.4170422265460497E-3</v>
      </c>
      <c r="O218">
        <v>2.2977122660712299E-9</v>
      </c>
      <c r="P218">
        <v>5.4170399288337836E-3</v>
      </c>
      <c r="Q218">
        <v>0.99458295777345396</v>
      </c>
      <c r="R218">
        <f t="shared" si="46"/>
        <v>1</v>
      </c>
      <c r="S218">
        <f t="shared" si="47"/>
        <v>200</v>
      </c>
      <c r="T218">
        <v>5.6878919252754727</v>
      </c>
      <c r="U218">
        <f t="shared" si="54"/>
        <v>205.78586438546071</v>
      </c>
      <c r="V218">
        <f t="shared" si="48"/>
        <v>2.7085211132730248E-3</v>
      </c>
      <c r="W218">
        <f t="shared" si="55"/>
        <v>2.7551747523621248E-3</v>
      </c>
    </row>
    <row r="219" spans="1:23">
      <c r="A219" s="2">
        <v>216</v>
      </c>
      <c r="B219" s="2">
        <v>83</v>
      </c>
      <c r="C219">
        <f t="shared" si="42"/>
        <v>0.53836113955031661</v>
      </c>
      <c r="D219" s="21">
        <v>1.99637226429932E-9</v>
      </c>
      <c r="E219">
        <f t="shared" si="43"/>
        <v>0.14058229534080488</v>
      </c>
      <c r="F219" s="22">
        <f t="shared" si="49"/>
        <v>1.99637226429932E-9</v>
      </c>
      <c r="G219">
        <f t="shared" si="50"/>
        <v>0.13114784049404049</v>
      </c>
      <c r="H219" s="21">
        <v>5.2365598478863202E-3</v>
      </c>
      <c r="I219">
        <f t="shared" si="44"/>
        <v>3.3885186683746384E-2</v>
      </c>
      <c r="J219" s="22">
        <f t="shared" si="51"/>
        <v>5.2365598478863202E-3</v>
      </c>
      <c r="K219">
        <f t="shared" si="52"/>
        <v>3.3317513711685898E-2</v>
      </c>
      <c r="L219">
        <v>5.6374247479431538E-3</v>
      </c>
      <c r="M219">
        <f t="shared" si="45"/>
        <v>3.3317513711685898E-2</v>
      </c>
      <c r="N219">
        <f t="shared" si="53"/>
        <v>5.2365598478863202E-3</v>
      </c>
      <c r="O219">
        <v>1.99637226429932E-9</v>
      </c>
      <c r="P219">
        <v>5.2365578515140556E-3</v>
      </c>
      <c r="Q219">
        <v>0.99476344015211371</v>
      </c>
      <c r="R219">
        <f t="shared" si="46"/>
        <v>1</v>
      </c>
      <c r="S219">
        <f t="shared" si="47"/>
        <v>200</v>
      </c>
      <c r="T219">
        <v>5.4983857440897586</v>
      </c>
      <c r="U219">
        <f t="shared" si="54"/>
        <v>205.59313883468263</v>
      </c>
      <c r="V219">
        <f t="shared" si="48"/>
        <v>2.6182799239431601E-3</v>
      </c>
      <c r="W219">
        <f t="shared" si="55"/>
        <v>2.6634005186080925E-3</v>
      </c>
    </row>
    <row r="220" spans="1:23">
      <c r="A220" s="2">
        <v>217</v>
      </c>
      <c r="B220" s="2">
        <v>83.083333300000007</v>
      </c>
      <c r="C220">
        <f t="shared" si="42"/>
        <v>0.53681998374660367</v>
      </c>
      <c r="D220" s="21">
        <v>1.73432647784922E-9</v>
      </c>
      <c r="E220">
        <f t="shared" si="43"/>
        <v>0.14071252483360583</v>
      </c>
      <c r="F220" s="22">
        <f t="shared" si="49"/>
        <v>1.73432647784922E-9</v>
      </c>
      <c r="G220">
        <f t="shared" si="50"/>
        <v>0.13126098330266678</v>
      </c>
      <c r="H220" s="21">
        <v>5.0620112633353604E-3</v>
      </c>
      <c r="I220">
        <f t="shared" si="44"/>
        <v>3.3900877955384094E-2</v>
      </c>
      <c r="J220" s="22">
        <f t="shared" si="51"/>
        <v>5.0620112633353604E-3</v>
      </c>
      <c r="K220">
        <f t="shared" si="52"/>
        <v>3.3332682070159936E-2</v>
      </c>
      <c r="L220">
        <v>5.6374247479431538E-3</v>
      </c>
      <c r="M220">
        <f t="shared" si="45"/>
        <v>3.3332682070159936E-2</v>
      </c>
      <c r="N220">
        <f t="shared" si="53"/>
        <v>5.0620112633353604E-3</v>
      </c>
      <c r="O220">
        <v>1.73432647784922E-9</v>
      </c>
      <c r="P220">
        <v>5.0620095290088828E-3</v>
      </c>
      <c r="Q220">
        <v>0.99493798873666461</v>
      </c>
      <c r="R220">
        <f t="shared" si="46"/>
        <v>1</v>
      </c>
      <c r="S220">
        <f t="shared" si="47"/>
        <v>200</v>
      </c>
      <c r="T220">
        <v>5.315110005459327</v>
      </c>
      <c r="U220">
        <f t="shared" si="54"/>
        <v>205.40674787477457</v>
      </c>
      <c r="V220">
        <f t="shared" si="48"/>
        <v>2.5310056316676802E-3</v>
      </c>
      <c r="W220">
        <f t="shared" si="55"/>
        <v>2.5746427778054201E-3</v>
      </c>
    </row>
    <row r="221" spans="1:23">
      <c r="A221" s="2">
        <v>218</v>
      </c>
      <c r="B221" s="2">
        <v>83.166666699999993</v>
      </c>
      <c r="C221">
        <f t="shared" si="42"/>
        <v>0.53528323977917847</v>
      </c>
      <c r="D221" s="21">
        <v>1.5064816015962599E-9</v>
      </c>
      <c r="E221">
        <f t="shared" si="43"/>
        <v>0.14084227399295399</v>
      </c>
      <c r="F221" s="22">
        <f t="shared" si="49"/>
        <v>1.5064816015962599E-9</v>
      </c>
      <c r="G221">
        <f t="shared" si="50"/>
        <v>0.1313736941475494</v>
      </c>
      <c r="H221" s="21">
        <v>4.8932043885829297E-3</v>
      </c>
      <c r="I221">
        <f t="shared" si="44"/>
        <v>3.3916504132552344E-2</v>
      </c>
      <c r="J221" s="22">
        <f t="shared" si="51"/>
        <v>4.8932043885829297E-3</v>
      </c>
      <c r="K221">
        <f t="shared" si="52"/>
        <v>3.334778726691412E-2</v>
      </c>
      <c r="L221">
        <v>5.6374247479431538E-3</v>
      </c>
      <c r="M221">
        <f t="shared" si="45"/>
        <v>3.334778726691412E-2</v>
      </c>
      <c r="N221">
        <f t="shared" si="53"/>
        <v>4.8932043885829297E-3</v>
      </c>
      <c r="O221">
        <v>1.5064816015962599E-9</v>
      </c>
      <c r="P221">
        <v>4.8932028821013279E-3</v>
      </c>
      <c r="Q221">
        <v>0.99510679561141702</v>
      </c>
      <c r="R221">
        <f t="shared" si="46"/>
        <v>1</v>
      </c>
      <c r="S221">
        <f t="shared" si="47"/>
        <v>200</v>
      </c>
      <c r="T221">
        <v>5.1378630262063947</v>
      </c>
      <c r="U221">
        <f t="shared" si="54"/>
        <v>205.22648651583285</v>
      </c>
      <c r="V221">
        <f t="shared" si="48"/>
        <v>2.4466021942914648E-3</v>
      </c>
      <c r="W221">
        <f t="shared" si="55"/>
        <v>2.4888039129795725E-3</v>
      </c>
    </row>
    <row r="222" spans="1:23">
      <c r="A222" s="2">
        <v>219</v>
      </c>
      <c r="B222" s="2">
        <v>83.25</v>
      </c>
      <c r="C222">
        <f t="shared" si="42"/>
        <v>0.53375089501836426</v>
      </c>
      <c r="D222" s="21">
        <v>1.3084003969214001E-9</v>
      </c>
      <c r="E222">
        <f t="shared" si="43"/>
        <v>0.14097154678676535</v>
      </c>
      <c r="F222" s="22">
        <f t="shared" si="49"/>
        <v>1.3084003969214001E-9</v>
      </c>
      <c r="G222">
        <f t="shared" si="50"/>
        <v>0.13148597663919293</v>
      </c>
      <c r="H222" s="21">
        <v>4.7299532431284803E-3</v>
      </c>
      <c r="I222">
        <f t="shared" si="44"/>
        <v>3.3932065782732508E-2</v>
      </c>
      <c r="J222" s="22">
        <f t="shared" si="51"/>
        <v>4.7299532431284803E-3</v>
      </c>
      <c r="K222">
        <f t="shared" si="52"/>
        <v>3.3362829853450515E-2</v>
      </c>
      <c r="L222">
        <v>5.6374247479431538E-3</v>
      </c>
      <c r="M222">
        <f t="shared" si="45"/>
        <v>3.3362829853450515E-2</v>
      </c>
      <c r="N222">
        <f t="shared" si="53"/>
        <v>4.7299532431284803E-3</v>
      </c>
      <c r="O222">
        <v>1.3084003969214001E-9</v>
      </c>
      <c r="P222">
        <v>4.7299519347280836E-3</v>
      </c>
      <c r="Q222">
        <v>0.99527004675687147</v>
      </c>
      <c r="R222">
        <f t="shared" si="46"/>
        <v>1</v>
      </c>
      <c r="S222">
        <f t="shared" si="47"/>
        <v>200</v>
      </c>
      <c r="T222">
        <v>4.9664495314644874</v>
      </c>
      <c r="U222">
        <f t="shared" si="54"/>
        <v>205.05215627883544</v>
      </c>
      <c r="V222">
        <f t="shared" si="48"/>
        <v>2.3649766215642402E-3</v>
      </c>
      <c r="W222">
        <f t="shared" si="55"/>
        <v>2.4057894079278523E-3</v>
      </c>
    </row>
    <row r="223" spans="1:23">
      <c r="A223" s="2">
        <v>220</v>
      </c>
      <c r="B223" s="2">
        <v>83.333333300000007</v>
      </c>
      <c r="C223">
        <f t="shared" si="42"/>
        <v>0.53222293687063904</v>
      </c>
      <c r="D223" s="21">
        <v>1.1362177382348401E-9</v>
      </c>
      <c r="E223">
        <f t="shared" si="43"/>
        <v>0.14110034713220462</v>
      </c>
      <c r="F223" s="22">
        <f t="shared" si="49"/>
        <v>1.1362177382348401E-9</v>
      </c>
      <c r="G223">
        <f t="shared" si="50"/>
        <v>0.13159783434161065</v>
      </c>
      <c r="H223" s="21">
        <v>4.5720777607017203E-3</v>
      </c>
      <c r="I223">
        <f t="shared" si="44"/>
        <v>3.3947563465872868E-2</v>
      </c>
      <c r="J223" s="22">
        <f t="shared" si="51"/>
        <v>4.5720777607017203E-3</v>
      </c>
      <c r="K223">
        <f t="shared" si="52"/>
        <v>3.3377810373943162E-2</v>
      </c>
      <c r="L223">
        <v>5.6374247479431538E-3</v>
      </c>
      <c r="M223">
        <f t="shared" si="45"/>
        <v>3.3377810373943162E-2</v>
      </c>
      <c r="N223">
        <f t="shared" si="53"/>
        <v>4.5720777607017203E-3</v>
      </c>
      <c r="O223">
        <v>1.1362177382348401E-9</v>
      </c>
      <c r="P223">
        <v>4.5720766244839823E-3</v>
      </c>
      <c r="Q223">
        <v>0.99542792223929832</v>
      </c>
      <c r="R223">
        <f t="shared" si="46"/>
        <v>1</v>
      </c>
      <c r="S223">
        <f t="shared" si="47"/>
        <v>200</v>
      </c>
      <c r="T223">
        <v>4.8006804557081812</v>
      </c>
      <c r="U223">
        <f t="shared" si="54"/>
        <v>204.88356499358633</v>
      </c>
      <c r="V223">
        <f t="shared" si="48"/>
        <v>2.2860388803508601E-3</v>
      </c>
      <c r="W223">
        <f t="shared" si="55"/>
        <v>2.3255077509575501E-3</v>
      </c>
    </row>
    <row r="224" spans="1:23">
      <c r="A224" s="2">
        <v>221</v>
      </c>
      <c r="B224" s="2">
        <v>83.416666699999993</v>
      </c>
      <c r="C224">
        <f t="shared" si="42"/>
        <v>0.53069935277853253</v>
      </c>
      <c r="D224" s="21">
        <v>9.8656732849243493E-10</v>
      </c>
      <c r="E224">
        <f t="shared" si="43"/>
        <v>0.14122867889655952</v>
      </c>
      <c r="F224" s="22">
        <f t="shared" si="49"/>
        <v>9.8656732849243493E-10</v>
      </c>
      <c r="G224">
        <f t="shared" si="50"/>
        <v>0.13170927077312933</v>
      </c>
      <c r="H224" s="21">
        <v>4.4194036054010502E-3</v>
      </c>
      <c r="I224">
        <f t="shared" si="44"/>
        <v>3.3962997734553767E-2</v>
      </c>
      <c r="J224" s="22">
        <f t="shared" si="51"/>
        <v>4.4194036054010502E-3</v>
      </c>
      <c r="K224">
        <f t="shared" si="52"/>
        <v>3.339272936539861E-2</v>
      </c>
      <c r="L224">
        <v>5.6374247479431538E-3</v>
      </c>
      <c r="M224">
        <f t="shared" si="45"/>
        <v>3.339272936539861E-2</v>
      </c>
      <c r="N224">
        <f t="shared" si="53"/>
        <v>4.4194036054010502E-3</v>
      </c>
      <c r="O224">
        <v>9.8656732849243493E-10</v>
      </c>
      <c r="P224">
        <v>4.4194026188337215E-3</v>
      </c>
      <c r="Q224">
        <v>0.99558059639459895</v>
      </c>
      <c r="R224">
        <f t="shared" si="46"/>
        <v>1</v>
      </c>
      <c r="S224">
        <f t="shared" si="47"/>
        <v>200</v>
      </c>
      <c r="T224">
        <v>4.6403727497754073</v>
      </c>
      <c r="U224">
        <f t="shared" si="54"/>
        <v>204.72052660274178</v>
      </c>
      <c r="V224">
        <f t="shared" si="48"/>
        <v>2.2097018027005251E-3</v>
      </c>
      <c r="W224">
        <f t="shared" si="55"/>
        <v>2.2478703415256926E-3</v>
      </c>
    </row>
    <row r="225" spans="1:23">
      <c r="A225" s="2">
        <v>222</v>
      </c>
      <c r="B225" s="2">
        <v>83.5</v>
      </c>
      <c r="C225">
        <f t="shared" si="42"/>
        <v>0.52918013022052157</v>
      </c>
      <c r="D225" s="21">
        <v>8.5651773773090101E-10</v>
      </c>
      <c r="E225">
        <f t="shared" si="43"/>
        <v>0.14135654589809174</v>
      </c>
      <c r="F225" s="22">
        <f t="shared" si="49"/>
        <v>8.5651773773090101E-10</v>
      </c>
      <c r="G225">
        <f t="shared" si="50"/>
        <v>0.13182028940717261</v>
      </c>
      <c r="H225" s="21">
        <v>4.2717619933844196E-3</v>
      </c>
      <c r="I225">
        <f t="shared" si="44"/>
        <v>3.3978369134093259E-2</v>
      </c>
      <c r="J225" s="22">
        <f t="shared" si="51"/>
        <v>4.2717619933844196E-3</v>
      </c>
      <c r="K225">
        <f t="shared" si="52"/>
        <v>3.340758735775895E-2</v>
      </c>
      <c r="L225">
        <v>5.6374247479431538E-3</v>
      </c>
      <c r="M225">
        <f t="shared" si="45"/>
        <v>3.340758735775895E-2</v>
      </c>
      <c r="N225">
        <f t="shared" si="53"/>
        <v>4.2717619933844196E-3</v>
      </c>
      <c r="O225">
        <v>8.5651773773090101E-10</v>
      </c>
      <c r="P225">
        <v>4.2717611368666818E-3</v>
      </c>
      <c r="Q225">
        <v>0.99572823800661558</v>
      </c>
      <c r="R225">
        <f t="shared" si="46"/>
        <v>1</v>
      </c>
      <c r="S225">
        <f t="shared" si="47"/>
        <v>200</v>
      </c>
      <c r="T225">
        <v>4.4853491937100163</v>
      </c>
      <c r="U225">
        <f t="shared" si="54"/>
        <v>204.56286097174271</v>
      </c>
      <c r="V225">
        <f t="shared" si="48"/>
        <v>2.1358809966922098E-3</v>
      </c>
      <c r="W225">
        <f t="shared" si="55"/>
        <v>2.1727913996963675E-3</v>
      </c>
    </row>
    <row r="226" spans="1:23">
      <c r="A226" s="2">
        <v>223</v>
      </c>
      <c r="B226" s="2">
        <v>83.583333300000007</v>
      </c>
      <c r="C226">
        <f t="shared" si="42"/>
        <v>0.5276652567109289</v>
      </c>
      <c r="D226" s="21">
        <v>7.4351658714525003E-10</v>
      </c>
      <c r="E226">
        <f t="shared" si="43"/>
        <v>0.1414839519068877</v>
      </c>
      <c r="F226" s="22">
        <f t="shared" si="49"/>
        <v>7.4351658714525003E-10</v>
      </c>
      <c r="G226">
        <f t="shared" si="50"/>
        <v>0.13193089367304323</v>
      </c>
      <c r="H226" s="21">
        <v>4.1289895199512396E-3</v>
      </c>
      <c r="I226">
        <f t="shared" si="44"/>
        <v>3.3993678202686686E-2</v>
      </c>
      <c r="J226" s="22">
        <f t="shared" si="51"/>
        <v>4.1289895199512396E-3</v>
      </c>
      <c r="K226">
        <f t="shared" si="52"/>
        <v>3.3422384874037592E-2</v>
      </c>
      <c r="L226">
        <v>5.6374247479431538E-3</v>
      </c>
      <c r="M226">
        <f t="shared" si="45"/>
        <v>3.3422384874037592E-2</v>
      </c>
      <c r="N226">
        <f t="shared" si="53"/>
        <v>4.1289895199512396E-3</v>
      </c>
      <c r="O226">
        <v>7.4351658714525003E-10</v>
      </c>
      <c r="P226">
        <v>4.1289887764346528E-3</v>
      </c>
      <c r="Q226">
        <v>0.99587101048004878</v>
      </c>
      <c r="R226">
        <f t="shared" si="46"/>
        <v>1</v>
      </c>
      <c r="S226">
        <f t="shared" si="47"/>
        <v>200</v>
      </c>
      <c r="T226">
        <v>4.3354382152563851</v>
      </c>
      <c r="U226">
        <f t="shared" si="54"/>
        <v>204.4103937044832</v>
      </c>
      <c r="V226">
        <f t="shared" si="48"/>
        <v>2.0644947599756198E-3</v>
      </c>
      <c r="W226">
        <f t="shared" si="55"/>
        <v>2.100187878333915E-3</v>
      </c>
    </row>
    <row r="227" spans="1:23">
      <c r="A227" s="2">
        <v>224</v>
      </c>
      <c r="B227" s="2">
        <v>83.666666699999993</v>
      </c>
      <c r="C227">
        <f t="shared" si="42"/>
        <v>0.52615471979981954</v>
      </c>
      <c r="D227" s="21">
        <v>6.4534184880826997E-10</v>
      </c>
      <c r="E227">
        <f t="shared" si="43"/>
        <v>0.14161090064568169</v>
      </c>
      <c r="F227" s="22">
        <f t="shared" si="49"/>
        <v>6.4534184880826997E-10</v>
      </c>
      <c r="G227">
        <f t="shared" si="50"/>
        <v>0.13204108695668026</v>
      </c>
      <c r="H227" s="21">
        <v>3.99092799185861E-3</v>
      </c>
      <c r="I227">
        <f t="shared" si="44"/>
        <v>3.4008925471534786E-2</v>
      </c>
      <c r="J227" s="22">
        <f t="shared" si="51"/>
        <v>3.99092799185861E-3</v>
      </c>
      <c r="K227">
        <f t="shared" si="52"/>
        <v>3.3437122430443944E-2</v>
      </c>
      <c r="L227">
        <v>5.6374247479431538E-3</v>
      </c>
      <c r="M227">
        <f t="shared" si="45"/>
        <v>3.3437122430443944E-2</v>
      </c>
      <c r="N227">
        <f t="shared" si="53"/>
        <v>3.99092799185861E-3</v>
      </c>
      <c r="O227">
        <v>6.4534184880826997E-10</v>
      </c>
      <c r="P227">
        <v>3.9909273465167615E-3</v>
      </c>
      <c r="Q227">
        <v>0.99600907200814137</v>
      </c>
      <c r="R227">
        <f t="shared" si="46"/>
        <v>1</v>
      </c>
      <c r="S227">
        <f t="shared" si="47"/>
        <v>200</v>
      </c>
      <c r="T227">
        <v>4.1904737138425991</v>
      </c>
      <c r="U227">
        <f t="shared" si="54"/>
        <v>204.26295596454949</v>
      </c>
      <c r="V227">
        <f t="shared" si="48"/>
        <v>1.995463995929305E-3</v>
      </c>
      <c r="W227">
        <f t="shared" si="55"/>
        <v>2.0299793779524622E-3</v>
      </c>
    </row>
    <row r="228" spans="1:23">
      <c r="A228" s="2">
        <v>225</v>
      </c>
      <c r="B228" s="2">
        <v>83.75</v>
      </c>
      <c r="C228">
        <f t="shared" si="42"/>
        <v>0.52464850707289845</v>
      </c>
      <c r="D228" s="21">
        <v>5.6005936036207698E-10</v>
      </c>
      <c r="E228">
        <f t="shared" si="43"/>
        <v>0.14173739579062433</v>
      </c>
      <c r="F228" s="22">
        <f t="shared" si="49"/>
        <v>5.6005936036207698E-10</v>
      </c>
      <c r="G228">
        <f t="shared" si="50"/>
        <v>0.13215087260136804</v>
      </c>
      <c r="H228" s="21">
        <v>3.8574242647194902E-3</v>
      </c>
      <c r="I228">
        <f t="shared" si="44"/>
        <v>3.4024111464945619E-2</v>
      </c>
      <c r="J228" s="22">
        <f t="shared" si="51"/>
        <v>3.8574242647194902E-3</v>
      </c>
      <c r="K228">
        <f t="shared" si="52"/>
        <v>3.3451800536482779E-2</v>
      </c>
      <c r="L228">
        <v>5.6374247479431538E-3</v>
      </c>
      <c r="M228">
        <f t="shared" si="45"/>
        <v>3.3451800536482779E-2</v>
      </c>
      <c r="N228">
        <f t="shared" si="53"/>
        <v>3.8574242647194902E-3</v>
      </c>
      <c r="O228">
        <v>5.6005936036207698E-10</v>
      </c>
      <c r="P228">
        <v>3.8574237046601297E-3</v>
      </c>
      <c r="Q228">
        <v>0.99614257573528053</v>
      </c>
      <c r="R228">
        <f t="shared" si="46"/>
        <v>1</v>
      </c>
      <c r="S228">
        <f t="shared" si="47"/>
        <v>200</v>
      </c>
      <c r="T228">
        <v>4.0502948898931361</v>
      </c>
      <c r="U228">
        <f t="shared" si="54"/>
        <v>204.12038430186789</v>
      </c>
      <c r="V228">
        <f t="shared" si="48"/>
        <v>1.9287121323597451E-3</v>
      </c>
      <c r="W228">
        <f t="shared" si="55"/>
        <v>1.962088064144525E-3</v>
      </c>
    </row>
    <row r="229" spans="1:23">
      <c r="A229" s="2">
        <v>226</v>
      </c>
      <c r="B229" s="2">
        <v>83.833333300000007</v>
      </c>
      <c r="C229">
        <f t="shared" si="42"/>
        <v>0.52314660615140918</v>
      </c>
      <c r="D229" s="21">
        <v>4.8598576715675097E-10</v>
      </c>
      <c r="E229">
        <f t="shared" si="43"/>
        <v>0.14186344097212733</v>
      </c>
      <c r="F229" s="22">
        <f t="shared" si="49"/>
        <v>4.8598576715675097E-10</v>
      </c>
      <c r="G229">
        <f t="shared" si="50"/>
        <v>0.13226025390851004</v>
      </c>
      <c r="H229" s="21">
        <v>3.7283300853343301E-3</v>
      </c>
      <c r="I229">
        <f t="shared" si="44"/>
        <v>3.4039236700483283E-2</v>
      </c>
      <c r="J229" s="22">
        <f t="shared" si="51"/>
        <v>3.7283300853343301E-3</v>
      </c>
      <c r="K229">
        <f t="shared" si="52"/>
        <v>3.3466419695098781E-2</v>
      </c>
      <c r="L229">
        <v>5.6374247479431538E-3</v>
      </c>
      <c r="M229">
        <f t="shared" si="45"/>
        <v>3.3466419695098781E-2</v>
      </c>
      <c r="N229">
        <f t="shared" si="53"/>
        <v>3.7283300853343301E-3</v>
      </c>
      <c r="O229">
        <v>4.8598576715675097E-10</v>
      </c>
      <c r="P229">
        <v>3.7283295993485628E-3</v>
      </c>
      <c r="Q229">
        <v>0.99627166991466565</v>
      </c>
      <c r="R229">
        <f t="shared" si="46"/>
        <v>1</v>
      </c>
      <c r="S229">
        <f t="shared" si="47"/>
        <v>200</v>
      </c>
      <c r="T229">
        <v>3.9147460793159912</v>
      </c>
      <c r="U229">
        <f t="shared" si="54"/>
        <v>203.98252048460455</v>
      </c>
      <c r="V229">
        <f t="shared" si="48"/>
        <v>1.864165042667165E-3</v>
      </c>
      <c r="W229">
        <f t="shared" si="55"/>
        <v>1.8964385875134551E-3</v>
      </c>
    </row>
    <row r="230" spans="1:23">
      <c r="A230" s="2">
        <v>227</v>
      </c>
      <c r="B230" s="2">
        <v>83.916666699999993</v>
      </c>
      <c r="C230">
        <f t="shared" si="42"/>
        <v>0.52164900469203113</v>
      </c>
      <c r="D230" s="21">
        <v>4.2165620335609198E-10</v>
      </c>
      <c r="E230">
        <f t="shared" si="43"/>
        <v>0.1419890397756039</v>
      </c>
      <c r="F230" s="22">
        <f t="shared" si="49"/>
        <v>4.2165620335609198E-10</v>
      </c>
      <c r="G230">
        <f t="shared" si="50"/>
        <v>0.1323692341383117</v>
      </c>
      <c r="H230" s="21">
        <v>3.6035019388122001E-3</v>
      </c>
      <c r="I230">
        <f t="shared" si="44"/>
        <v>3.4054301689061955E-2</v>
      </c>
      <c r="J230" s="22">
        <f t="shared" si="51"/>
        <v>3.6035019388122001E-3</v>
      </c>
      <c r="K230">
        <f t="shared" si="52"/>
        <v>3.3480980402768257E-2</v>
      </c>
      <c r="L230">
        <v>5.6374247479431538E-3</v>
      </c>
      <c r="M230">
        <f t="shared" si="45"/>
        <v>3.3480980402768257E-2</v>
      </c>
      <c r="N230">
        <f t="shared" si="53"/>
        <v>3.6035019388122001E-3</v>
      </c>
      <c r="O230">
        <v>4.2165620335609198E-10</v>
      </c>
      <c r="P230">
        <v>3.6035015171559967E-3</v>
      </c>
      <c r="Q230">
        <v>0.9963964980611878</v>
      </c>
      <c r="R230">
        <f t="shared" si="46"/>
        <v>1</v>
      </c>
      <c r="S230">
        <f t="shared" si="47"/>
        <v>200</v>
      </c>
      <c r="T230">
        <v>3.7836765930137966</v>
      </c>
      <c r="U230">
        <f t="shared" si="54"/>
        <v>203.8492113361649</v>
      </c>
      <c r="V230">
        <f t="shared" si="48"/>
        <v>1.8017509694061001E-3</v>
      </c>
      <c r="W230">
        <f t="shared" si="55"/>
        <v>1.8329580060366325E-3</v>
      </c>
    </row>
    <row r="231" spans="1:23">
      <c r="A231" s="2">
        <v>228</v>
      </c>
      <c r="B231" s="2">
        <v>84</v>
      </c>
      <c r="C231">
        <f t="shared" si="42"/>
        <v>0.52015569038677933</v>
      </c>
      <c r="D231" s="21">
        <v>3.6579611021739E-10</v>
      </c>
      <c r="E231">
        <f t="shared" si="43"/>
        <v>0.14211419574219714</v>
      </c>
      <c r="F231" s="22">
        <f t="shared" si="49"/>
        <v>3.6579611021739E-10</v>
      </c>
      <c r="G231">
        <f t="shared" si="50"/>
        <v>0.13247781651045154</v>
      </c>
      <c r="H231" s="21">
        <v>3.4828009003411201E-3</v>
      </c>
      <c r="I231">
        <f t="shared" si="44"/>
        <v>3.4069306935062375E-2</v>
      </c>
      <c r="J231" s="22">
        <f t="shared" si="51"/>
        <v>3.4828009003411201E-3</v>
      </c>
      <c r="K231">
        <f t="shared" si="52"/>
        <v>3.3495483149612482E-2</v>
      </c>
      <c r="L231">
        <v>6.3448384313740114E-3</v>
      </c>
      <c r="M231">
        <f t="shared" si="45"/>
        <v>3.3495483149612482E-2</v>
      </c>
      <c r="N231">
        <f t="shared" si="53"/>
        <v>3.4828009003411201E-3</v>
      </c>
      <c r="O231">
        <v>3.6579611021739E-10</v>
      </c>
      <c r="P231">
        <v>3.4828005345450097E-3</v>
      </c>
      <c r="Q231">
        <v>0.99651719909965886</v>
      </c>
      <c r="R231">
        <f t="shared" si="46"/>
        <v>1</v>
      </c>
      <c r="S231">
        <f t="shared" si="47"/>
        <v>200</v>
      </c>
      <c r="T231">
        <v>3.6569405612722603</v>
      </c>
      <c r="U231">
        <f t="shared" si="54"/>
        <v>203.72030857714302</v>
      </c>
      <c r="V231">
        <f t="shared" si="48"/>
        <v>1.7414004501705601E-3</v>
      </c>
      <c r="W231">
        <f t="shared" si="55"/>
        <v>1.7715757097883302E-3</v>
      </c>
    </row>
    <row r="232" spans="1:23">
      <c r="A232" s="2">
        <v>229</v>
      </c>
      <c r="B232" s="2">
        <v>84.083333300000007</v>
      </c>
      <c r="C232">
        <f t="shared" si="42"/>
        <v>0.51866665096290221</v>
      </c>
      <c r="D232" s="21">
        <v>3.1729666561000999E-10</v>
      </c>
      <c r="E232">
        <f t="shared" si="43"/>
        <v>0.14223891236955677</v>
      </c>
      <c r="F232" s="22">
        <f t="shared" si="49"/>
        <v>3.1729666561000999E-10</v>
      </c>
      <c r="G232">
        <f t="shared" si="50"/>
        <v>0.13258600420479361</v>
      </c>
      <c r="H232" s="21">
        <v>3.3660924914712502E-3</v>
      </c>
      <c r="I232">
        <f t="shared" si="44"/>
        <v>3.4084252936457268E-2</v>
      </c>
      <c r="J232" s="22">
        <f t="shared" si="51"/>
        <v>3.3660924914712502E-3</v>
      </c>
      <c r="K232">
        <f t="shared" si="52"/>
        <v>3.3509928419519719E-2</v>
      </c>
      <c r="L232">
        <v>6.3448384313740114E-3</v>
      </c>
      <c r="M232">
        <f t="shared" si="45"/>
        <v>3.3509928419519719E-2</v>
      </c>
      <c r="N232">
        <f t="shared" si="53"/>
        <v>3.3660924914712502E-3</v>
      </c>
      <c r="O232">
        <v>3.1729666561000999E-10</v>
      </c>
      <c r="P232">
        <v>3.3660921741745847E-3</v>
      </c>
      <c r="Q232">
        <v>0.99663390750852876</v>
      </c>
      <c r="R232">
        <f t="shared" si="46"/>
        <v>1</v>
      </c>
      <c r="S232">
        <f t="shared" si="47"/>
        <v>200</v>
      </c>
      <c r="T232">
        <v>3.5343967828833138</v>
      </c>
      <c r="U232">
        <f t="shared" si="54"/>
        <v>203.59566867207778</v>
      </c>
      <c r="V232">
        <f t="shared" si="48"/>
        <v>1.6830462457356251E-3</v>
      </c>
      <c r="W232">
        <f t="shared" si="55"/>
        <v>1.7122233479530927E-3</v>
      </c>
    </row>
    <row r="233" spans="1:23">
      <c r="A233" s="2">
        <v>230</v>
      </c>
      <c r="B233" s="2">
        <v>84.166666699999993</v>
      </c>
      <c r="C233">
        <f t="shared" si="42"/>
        <v>0.51718187418278116</v>
      </c>
      <c r="D233" s="21">
        <v>2.7519336520801298E-10</v>
      </c>
      <c r="E233">
        <f t="shared" si="43"/>
        <v>0.14236319311255299</v>
      </c>
      <c r="F233" s="22">
        <f t="shared" si="49"/>
        <v>2.7519336520801298E-10</v>
      </c>
      <c r="G233">
        <f t="shared" si="50"/>
        <v>0.13269380036204437</v>
      </c>
      <c r="H233" s="21">
        <v>3.25324654077853E-3</v>
      </c>
      <c r="I233">
        <f t="shared" si="44"/>
        <v>3.4099140184908353E-2</v>
      </c>
      <c r="J233" s="22">
        <f t="shared" si="51"/>
        <v>3.25324654077853E-3</v>
      </c>
      <c r="K233">
        <f t="shared" si="52"/>
        <v>3.3524316690239697E-2</v>
      </c>
      <c r="L233">
        <v>6.3448384313740114E-3</v>
      </c>
      <c r="M233">
        <f t="shared" si="45"/>
        <v>3.3524316690239697E-2</v>
      </c>
      <c r="N233">
        <f t="shared" si="53"/>
        <v>3.25324654077853E-3</v>
      </c>
      <c r="O233">
        <v>2.7519336520801298E-10</v>
      </c>
      <c r="P233">
        <v>3.253246265585165E-3</v>
      </c>
      <c r="Q233">
        <v>0.99674675345922148</v>
      </c>
      <c r="R233">
        <f t="shared" si="46"/>
        <v>1</v>
      </c>
      <c r="S233">
        <f t="shared" si="47"/>
        <v>200</v>
      </c>
      <c r="T233">
        <v>3.415908578864423</v>
      </c>
      <c r="U233">
        <f t="shared" si="54"/>
        <v>203.47515268087389</v>
      </c>
      <c r="V233">
        <f t="shared" si="48"/>
        <v>1.626623270389265E-3</v>
      </c>
      <c r="W233">
        <f t="shared" si="55"/>
        <v>1.6548347580624451E-3</v>
      </c>
    </row>
    <row r="234" spans="1:23">
      <c r="A234" s="2">
        <v>231</v>
      </c>
      <c r="B234" s="2">
        <v>84.25</v>
      </c>
      <c r="C234">
        <f t="shared" si="42"/>
        <v>0.51570134784383026</v>
      </c>
      <c r="D234" s="21">
        <v>2.3864735385157899E-10</v>
      </c>
      <c r="E234">
        <f t="shared" si="43"/>
        <v>0.14248704138397345</v>
      </c>
      <c r="F234" s="22">
        <f t="shared" si="49"/>
        <v>2.3864735385157899E-10</v>
      </c>
      <c r="G234">
        <f t="shared" si="50"/>
        <v>0.13280120808439411</v>
      </c>
      <c r="H234" s="21">
        <v>3.1441370487798998E-3</v>
      </c>
      <c r="I234">
        <f t="shared" si="44"/>
        <v>3.4113969165872962E-2</v>
      </c>
      <c r="J234" s="22">
        <f t="shared" si="51"/>
        <v>3.1441370487798998E-3</v>
      </c>
      <c r="K234">
        <f t="shared" si="52"/>
        <v>3.3538648433487417E-2</v>
      </c>
      <c r="L234">
        <v>6.3448384313740114E-3</v>
      </c>
      <c r="M234">
        <f t="shared" si="45"/>
        <v>3.3538648433487417E-2</v>
      </c>
      <c r="N234">
        <f t="shared" si="53"/>
        <v>3.1441370487798998E-3</v>
      </c>
      <c r="O234">
        <v>2.3864735385157899E-10</v>
      </c>
      <c r="P234">
        <v>3.1441368101325457E-3</v>
      </c>
      <c r="Q234">
        <v>0.99685586295122008</v>
      </c>
      <c r="R234">
        <f t="shared" si="46"/>
        <v>1</v>
      </c>
      <c r="S234">
        <f t="shared" si="47"/>
        <v>200</v>
      </c>
      <c r="T234">
        <v>3.3013436506391729</v>
      </c>
      <c r="U234">
        <f t="shared" si="54"/>
        <v>203.35862611475181</v>
      </c>
      <c r="V234">
        <f t="shared" si="48"/>
        <v>1.5720685243899499E-3</v>
      </c>
      <c r="W234">
        <f t="shared" si="55"/>
        <v>1.5993458973896073E-3</v>
      </c>
    </row>
    <row r="235" spans="1:23">
      <c r="A235" s="2">
        <v>232</v>
      </c>
      <c r="B235" s="2">
        <v>84.333333300000007</v>
      </c>
      <c r="C235">
        <f t="shared" si="42"/>
        <v>0.51422505977839528</v>
      </c>
      <c r="D235" s="21">
        <v>2.06929156352897E-10</v>
      </c>
      <c r="E235">
        <f t="shared" si="43"/>
        <v>0.14261046055520604</v>
      </c>
      <c r="F235" s="22">
        <f t="shared" si="49"/>
        <v>2.06929156352897E-10</v>
      </c>
      <c r="G235">
        <f t="shared" si="50"/>
        <v>0.13290823043614541</v>
      </c>
      <c r="H235" s="21">
        <v>3.03864205697484E-3</v>
      </c>
      <c r="I235">
        <f t="shared" si="44"/>
        <v>3.4128740358723923E-2</v>
      </c>
      <c r="J235" s="22">
        <f t="shared" si="51"/>
        <v>3.03864205697484E-3</v>
      </c>
      <c r="K235">
        <f t="shared" si="52"/>
        <v>3.3552924115059723E-2</v>
      </c>
      <c r="L235">
        <v>6.3448384313740114E-3</v>
      </c>
      <c r="M235">
        <f t="shared" si="45"/>
        <v>3.3552924115059723E-2</v>
      </c>
      <c r="N235">
        <f t="shared" si="53"/>
        <v>3.03864205697484E-3</v>
      </c>
      <c r="O235">
        <v>2.06929156352897E-10</v>
      </c>
      <c r="P235">
        <v>3.0386418500456835E-3</v>
      </c>
      <c r="Q235">
        <v>0.99696135794302521</v>
      </c>
      <c r="R235">
        <f t="shared" si="46"/>
        <v>1</v>
      </c>
      <c r="S235">
        <f t="shared" si="47"/>
        <v>200</v>
      </c>
      <c r="T235">
        <v>3.1905739425479678</v>
      </c>
      <c r="U235">
        <f t="shared" si="54"/>
        <v>203.24595879659358</v>
      </c>
      <c r="V235">
        <f t="shared" si="48"/>
        <v>1.51932102848742E-3</v>
      </c>
      <c r="W235">
        <f t="shared" si="55"/>
        <v>1.5456947764386848E-3</v>
      </c>
    </row>
    <row r="236" spans="1:23">
      <c r="A236" s="2">
        <v>233</v>
      </c>
      <c r="B236" s="2">
        <v>84.416666699999993</v>
      </c>
      <c r="C236">
        <f t="shared" si="42"/>
        <v>0.51275299785365458</v>
      </c>
      <c r="D236" s="21">
        <v>1.79404501429454E-10</v>
      </c>
      <c r="E236">
        <f t="shared" si="43"/>
        <v>0.14273345395695342</v>
      </c>
      <c r="F236" s="22">
        <f t="shared" si="49"/>
        <v>1.79404501429454E-10</v>
      </c>
      <c r="G236">
        <f t="shared" si="50"/>
        <v>0.13301487044436811</v>
      </c>
      <c r="H236" s="21">
        <v>2.9366435208916701E-3</v>
      </c>
      <c r="I236">
        <f t="shared" si="44"/>
        <v>3.4143454236818443E-2</v>
      </c>
      <c r="J236" s="22">
        <f t="shared" si="51"/>
        <v>2.9366435208916701E-3</v>
      </c>
      <c r="K236">
        <f t="shared" si="52"/>
        <v>3.3567144194902587E-2</v>
      </c>
      <c r="L236">
        <v>6.3448384313740114E-3</v>
      </c>
      <c r="M236">
        <f t="shared" si="45"/>
        <v>3.3567144194902587E-2</v>
      </c>
      <c r="N236">
        <f t="shared" si="53"/>
        <v>2.9366435208916701E-3</v>
      </c>
      <c r="O236">
        <v>1.79404501429454E-10</v>
      </c>
      <c r="P236">
        <v>2.9366433414871689E-3</v>
      </c>
      <c r="Q236">
        <v>0.99706335647910838</v>
      </c>
      <c r="R236">
        <f t="shared" si="46"/>
        <v>1</v>
      </c>
      <c r="S236">
        <f t="shared" si="47"/>
        <v>200</v>
      </c>
      <c r="T236">
        <v>3.0834755085615275</v>
      </c>
      <c r="U236">
        <f t="shared" si="54"/>
        <v>203.13702472555474</v>
      </c>
      <c r="V236">
        <f t="shared" si="48"/>
        <v>1.4683217604458351E-3</v>
      </c>
      <c r="W236">
        <f t="shared" si="55"/>
        <v>1.4938213944666275E-3</v>
      </c>
    </row>
    <row r="237" spans="1:23">
      <c r="A237" s="2">
        <v>234</v>
      </c>
      <c r="B237" s="2">
        <v>84.5</v>
      </c>
      <c r="C237">
        <f t="shared" si="42"/>
        <v>0.51128514997151853</v>
      </c>
      <c r="D237" s="21">
        <v>1.55521971274825E-10</v>
      </c>
      <c r="E237">
        <f t="shared" si="43"/>
        <v>0.14285602487987428</v>
      </c>
      <c r="F237" s="22">
        <f t="shared" si="49"/>
        <v>1.55521971274825E-10</v>
      </c>
      <c r="G237">
        <f t="shared" si="50"/>
        <v>0.13312113109949009</v>
      </c>
      <c r="H237" s="21">
        <v>2.83802718702005E-3</v>
      </c>
      <c r="I237">
        <f t="shared" si="44"/>
        <v>3.4158111267648589E-2</v>
      </c>
      <c r="J237" s="22">
        <f t="shared" si="51"/>
        <v>2.83802718702005E-3</v>
      </c>
      <c r="K237">
        <f t="shared" si="52"/>
        <v>3.3581309127257208E-2</v>
      </c>
      <c r="L237">
        <v>6.3448384313740114E-3</v>
      </c>
      <c r="M237">
        <f t="shared" si="45"/>
        <v>3.3581309127257208E-2</v>
      </c>
      <c r="N237">
        <f t="shared" si="53"/>
        <v>2.83802718702005E-3</v>
      </c>
      <c r="O237">
        <v>1.55521971274825E-10</v>
      </c>
      <c r="P237">
        <v>2.8380270314980788E-3</v>
      </c>
      <c r="Q237">
        <v>0.99716197281297991</v>
      </c>
      <c r="R237">
        <f t="shared" si="46"/>
        <v>1</v>
      </c>
      <c r="S237">
        <f t="shared" si="47"/>
        <v>200</v>
      </c>
      <c r="T237">
        <v>2.9799283830729828</v>
      </c>
      <c r="U237">
        <f t="shared" si="54"/>
        <v>203.03170194581728</v>
      </c>
      <c r="V237">
        <f t="shared" si="48"/>
        <v>1.419013593510025E-3</v>
      </c>
      <c r="W237">
        <f t="shared" si="55"/>
        <v>1.4436676769779299E-3</v>
      </c>
    </row>
    <row r="238" spans="1:23">
      <c r="A238" s="2">
        <v>235</v>
      </c>
      <c r="B238" s="2">
        <v>84.583333300000007</v>
      </c>
      <c r="C238">
        <f t="shared" si="42"/>
        <v>0.50982150406853044</v>
      </c>
      <c r="D238" s="21">
        <v>1.3480224321961901E-10</v>
      </c>
      <c r="E238">
        <f t="shared" si="43"/>
        <v>0.14297817657520251</v>
      </c>
      <c r="F238" s="22">
        <f t="shared" si="49"/>
        <v>1.3480224321961901E-10</v>
      </c>
      <c r="G238">
        <f t="shared" si="50"/>
        <v>0.13322701535586812</v>
      </c>
      <c r="H238" s="21">
        <v>2.7426824735150299E-3</v>
      </c>
      <c r="I238">
        <f t="shared" si="44"/>
        <v>3.4172711912886969E-2</v>
      </c>
      <c r="J238" s="22">
        <f t="shared" si="51"/>
        <v>2.7426824735150299E-3</v>
      </c>
      <c r="K238">
        <f t="shared" si="52"/>
        <v>3.359541936070487E-2</v>
      </c>
      <c r="L238">
        <v>6.3448384313740114E-3</v>
      </c>
      <c r="M238">
        <f t="shared" si="45"/>
        <v>3.359541936070487E-2</v>
      </c>
      <c r="N238">
        <f t="shared" si="53"/>
        <v>2.7426824735150299E-3</v>
      </c>
      <c r="O238">
        <v>1.3480224321961901E-10</v>
      </c>
      <c r="P238">
        <v>2.7426823387127867E-3</v>
      </c>
      <c r="Q238">
        <v>0.99725731752648494</v>
      </c>
      <c r="R238">
        <f t="shared" si="46"/>
        <v>1</v>
      </c>
      <c r="S238">
        <f t="shared" si="47"/>
        <v>200</v>
      </c>
      <c r="T238">
        <v>2.879816455648426</v>
      </c>
      <c r="U238">
        <f t="shared" si="54"/>
        <v>202.92987241936072</v>
      </c>
      <c r="V238">
        <f t="shared" si="48"/>
        <v>1.3713412367575149E-3</v>
      </c>
      <c r="W238">
        <f t="shared" si="55"/>
        <v>1.3951774151337699E-3</v>
      </c>
    </row>
    <row r="239" spans="1:23">
      <c r="A239" s="2">
        <v>236</v>
      </c>
      <c r="B239" s="2">
        <v>84.666666699999993</v>
      </c>
      <c r="C239">
        <f t="shared" si="42"/>
        <v>0.50836204811576768</v>
      </c>
      <c r="D239" s="21">
        <v>1.16828719602828E-10</v>
      </c>
      <c r="E239">
        <f t="shared" si="43"/>
        <v>0.14309991225545779</v>
      </c>
      <c r="F239" s="22">
        <f t="shared" si="49"/>
        <v>1.16828719602828E-10</v>
      </c>
      <c r="G239">
        <f t="shared" si="50"/>
        <v>0.13333252613243729</v>
      </c>
      <c r="H239" s="21">
        <v>2.6505023545606299E-3</v>
      </c>
      <c r="I239">
        <f t="shared" si="44"/>
        <v>3.4187256628527132E-2</v>
      </c>
      <c r="J239" s="22">
        <f t="shared" si="51"/>
        <v>2.6505023545606299E-3</v>
      </c>
      <c r="K239">
        <f t="shared" si="52"/>
        <v>3.3609475338303274E-2</v>
      </c>
      <c r="L239">
        <v>6.3448384313740114E-3</v>
      </c>
      <c r="M239">
        <f t="shared" si="45"/>
        <v>3.3609475338303274E-2</v>
      </c>
      <c r="N239">
        <f t="shared" si="53"/>
        <v>2.6505023545606299E-3</v>
      </c>
      <c r="O239">
        <v>1.16828719602828E-10</v>
      </c>
      <c r="P239">
        <v>2.6505022377319104E-3</v>
      </c>
      <c r="Q239">
        <v>0.99734949764543934</v>
      </c>
      <c r="R239">
        <f t="shared" si="46"/>
        <v>1</v>
      </c>
      <c r="S239">
        <f t="shared" si="47"/>
        <v>200</v>
      </c>
      <c r="T239">
        <v>2.7830273496185058</v>
      </c>
      <c r="U239">
        <f t="shared" si="54"/>
        <v>202.83142190263345</v>
      </c>
      <c r="V239">
        <f t="shared" si="48"/>
        <v>1.3252511772803149E-3</v>
      </c>
      <c r="W239">
        <f t="shared" si="55"/>
        <v>1.3482962070189149E-3</v>
      </c>
    </row>
    <row r="240" spans="1:23">
      <c r="A240" s="2">
        <v>237</v>
      </c>
      <c r="B240" s="2">
        <v>84.75</v>
      </c>
      <c r="C240">
        <f t="shared" si="42"/>
        <v>0.50690677011874263</v>
      </c>
      <c r="D240" s="21">
        <v>1.01239367900663E-10</v>
      </c>
      <c r="E240">
        <f t="shared" si="43"/>
        <v>0.14322123509501578</v>
      </c>
      <c r="F240" s="22">
        <f t="shared" si="49"/>
        <v>1.01239367900663E-10</v>
      </c>
      <c r="G240">
        <f t="shared" si="50"/>
        <v>0.13343766631323783</v>
      </c>
      <c r="H240" s="21">
        <v>2.5613832482845999E-3</v>
      </c>
      <c r="I240">
        <f t="shared" si="44"/>
        <v>3.4201745864945524E-2</v>
      </c>
      <c r="J240" s="22">
        <f t="shared" si="51"/>
        <v>2.5613832482845999E-3</v>
      </c>
      <c r="K240">
        <f t="shared" si="52"/>
        <v>3.3623477497647047E-2</v>
      </c>
      <c r="L240">
        <v>6.3448384313740114E-3</v>
      </c>
      <c r="M240">
        <f t="shared" si="45"/>
        <v>3.3623477497647047E-2</v>
      </c>
      <c r="N240">
        <f t="shared" si="53"/>
        <v>2.5613832482845999E-3</v>
      </c>
      <c r="O240">
        <v>1.01239367900663E-10</v>
      </c>
      <c r="P240">
        <v>2.5613831470452319E-3</v>
      </c>
      <c r="Q240">
        <v>0.99743861675171541</v>
      </c>
      <c r="R240">
        <f t="shared" si="46"/>
        <v>1</v>
      </c>
      <c r="S240">
        <f t="shared" si="47"/>
        <v>200</v>
      </c>
      <c r="T240">
        <v>2.6894523043974936</v>
      </c>
      <c r="U240">
        <f t="shared" si="54"/>
        <v>202.73623982700801</v>
      </c>
      <c r="V240">
        <f t="shared" si="48"/>
        <v>1.2806916241422999E-3</v>
      </c>
      <c r="W240">
        <f t="shared" si="55"/>
        <v>1.3029714007113074E-3</v>
      </c>
    </row>
    <row r="241" spans="1:23">
      <c r="A241" s="2">
        <v>238</v>
      </c>
      <c r="B241" s="2">
        <v>84.833333300000007</v>
      </c>
      <c r="C241">
        <f t="shared" si="42"/>
        <v>0.50545565811730353</v>
      </c>
      <c r="D241" s="21">
        <v>8.7719615813906405E-11</v>
      </c>
      <c r="E241">
        <f t="shared" si="43"/>
        <v>0.1433421482307011</v>
      </c>
      <c r="F241" s="22">
        <f t="shared" si="49"/>
        <v>8.7719615813906405E-11</v>
      </c>
      <c r="G241">
        <f t="shared" si="50"/>
        <v>0.13354243874796123</v>
      </c>
      <c r="H241" s="21">
        <v>2.4752249081187302E-3</v>
      </c>
      <c r="I241">
        <f t="shared" si="44"/>
        <v>3.4216180067006156E-2</v>
      </c>
      <c r="J241" s="22">
        <f t="shared" si="51"/>
        <v>2.4752249081187302E-3</v>
      </c>
      <c r="K241">
        <f t="shared" si="52"/>
        <v>3.363742627096955E-2</v>
      </c>
      <c r="L241">
        <v>6.3448384313740114E-3</v>
      </c>
      <c r="M241">
        <f t="shared" si="45"/>
        <v>3.363742627096955E-2</v>
      </c>
      <c r="N241">
        <f t="shared" si="53"/>
        <v>2.4752249081187302E-3</v>
      </c>
      <c r="O241">
        <v>8.7719615813906405E-11</v>
      </c>
      <c r="P241">
        <v>2.4752248203991144E-3</v>
      </c>
      <c r="Q241">
        <v>0.99752477509188131</v>
      </c>
      <c r="R241">
        <f t="shared" si="46"/>
        <v>1</v>
      </c>
      <c r="S241">
        <f t="shared" si="47"/>
        <v>200</v>
      </c>
      <c r="T241">
        <v>2.5989860614190703</v>
      </c>
      <c r="U241">
        <f t="shared" si="54"/>
        <v>202.64421918290827</v>
      </c>
      <c r="V241">
        <f t="shared" si="48"/>
        <v>1.2376124540593651E-3</v>
      </c>
      <c r="W241">
        <f t="shared" si="55"/>
        <v>1.2591520391008325E-3</v>
      </c>
    </row>
    <row r="242" spans="1:23">
      <c r="A242" s="2">
        <v>239</v>
      </c>
      <c r="B242" s="2">
        <v>84.916666699999993</v>
      </c>
      <c r="C242">
        <f t="shared" si="42"/>
        <v>0.50400870018553734</v>
      </c>
      <c r="D242" s="21">
        <v>7.59961658058899E-11</v>
      </c>
      <c r="E242">
        <f t="shared" si="43"/>
        <v>0.14346265476247741</v>
      </c>
      <c r="F242" s="22">
        <f t="shared" si="49"/>
        <v>7.59961658058899E-11</v>
      </c>
      <c r="G242">
        <f t="shared" si="50"/>
        <v>0.13364684625257961</v>
      </c>
      <c r="H242" s="21">
        <v>2.3919303175022099E-3</v>
      </c>
      <c r="I242">
        <f t="shared" si="44"/>
        <v>3.4230559674163948E-2</v>
      </c>
      <c r="J242" s="22">
        <f t="shared" si="51"/>
        <v>2.3919303175022099E-3</v>
      </c>
      <c r="K242">
        <f t="shared" si="52"/>
        <v>3.3651322085243351E-2</v>
      </c>
      <c r="L242">
        <v>6.3448384313740114E-3</v>
      </c>
      <c r="M242">
        <f t="shared" si="45"/>
        <v>3.3651322085243351E-2</v>
      </c>
      <c r="N242">
        <f t="shared" si="53"/>
        <v>2.3919303175022099E-3</v>
      </c>
      <c r="O242">
        <v>7.59961658058899E-11</v>
      </c>
      <c r="P242">
        <v>2.3919302415060439E-3</v>
      </c>
      <c r="Q242">
        <v>0.99760806968249782</v>
      </c>
      <c r="R242">
        <f t="shared" si="46"/>
        <v>1</v>
      </c>
      <c r="S242">
        <f t="shared" si="47"/>
        <v>200</v>
      </c>
      <c r="T242">
        <v>2.5115267535813461</v>
      </c>
      <c r="U242">
        <f t="shared" si="54"/>
        <v>202.5552564075002</v>
      </c>
      <c r="V242">
        <f t="shared" si="48"/>
        <v>1.1959651587511049E-3</v>
      </c>
      <c r="W242">
        <f t="shared" si="55"/>
        <v>1.216788806405235E-3</v>
      </c>
    </row>
    <row r="243" spans="1:23">
      <c r="A243" s="2">
        <v>240</v>
      </c>
      <c r="B243" s="2">
        <v>85</v>
      </c>
      <c r="C243">
        <f t="shared" si="42"/>
        <v>0.50256588443167094</v>
      </c>
      <c r="D243" s="21">
        <v>6.5831610870427094E-11</v>
      </c>
      <c r="E243">
        <f t="shared" si="43"/>
        <v>0.14358275775391852</v>
      </c>
      <c r="F243" s="22">
        <f t="shared" si="49"/>
        <v>6.5831610870427094E-11</v>
      </c>
      <c r="G243">
        <f t="shared" si="50"/>
        <v>0.13375089160978471</v>
      </c>
      <c r="H243" s="21">
        <v>2.31140558782855E-3</v>
      </c>
      <c r="I243">
        <f t="shared" si="44"/>
        <v>3.4244885120522789E-2</v>
      </c>
      <c r="J243" s="22">
        <f t="shared" si="51"/>
        <v>2.31140558782855E-3</v>
      </c>
      <c r="K243">
        <f t="shared" si="52"/>
        <v>3.366516536223696E-2</v>
      </c>
      <c r="L243">
        <v>7.1211431181837925E-3</v>
      </c>
      <c r="M243">
        <f t="shared" si="45"/>
        <v>3.366516536223696E-2</v>
      </c>
      <c r="N243">
        <f t="shared" si="53"/>
        <v>2.31140558782855E-3</v>
      </c>
      <c r="O243">
        <v>6.5831610870427094E-11</v>
      </c>
      <c r="P243">
        <v>2.311405521996939E-3</v>
      </c>
      <c r="Q243">
        <v>0.9976885944121715</v>
      </c>
      <c r="R243">
        <f t="shared" si="46"/>
        <v>1</v>
      </c>
      <c r="S243">
        <f t="shared" si="47"/>
        <v>200</v>
      </c>
      <c r="T243">
        <v>2.4269757980967861</v>
      </c>
      <c r="U243">
        <f t="shared" si="54"/>
        <v>202.46925127583907</v>
      </c>
      <c r="V243">
        <f t="shared" si="48"/>
        <v>1.155702793914275E-3</v>
      </c>
      <c r="W243">
        <f t="shared" si="55"/>
        <v>1.1758339763326899E-3</v>
      </c>
    </row>
    <row r="244" spans="1:23">
      <c r="A244" s="2">
        <v>241</v>
      </c>
      <c r="B244" s="2">
        <v>85.083333300000007</v>
      </c>
      <c r="C244">
        <f t="shared" si="42"/>
        <v>0.50112719899797309</v>
      </c>
      <c r="D244" s="21">
        <v>5.7019748406639802E-11</v>
      </c>
      <c r="E244">
        <f t="shared" si="43"/>
        <v>0.1437024602328795</v>
      </c>
      <c r="F244" s="22">
        <f t="shared" si="49"/>
        <v>5.7019748406639809E-11</v>
      </c>
      <c r="G244">
        <f t="shared" si="50"/>
        <v>0.13385457756959973</v>
      </c>
      <c r="H244" s="21">
        <v>2.2335598595391499E-3</v>
      </c>
      <c r="I244">
        <f t="shared" si="44"/>
        <v>3.4259156834955909E-2</v>
      </c>
      <c r="J244" s="22">
        <f t="shared" si="51"/>
        <v>2.2335598595391499E-3</v>
      </c>
      <c r="K244">
        <f t="shared" si="52"/>
        <v>3.3678956518631731E-2</v>
      </c>
      <c r="L244">
        <v>7.1211431181837925E-3</v>
      </c>
      <c r="M244">
        <f t="shared" si="45"/>
        <v>3.3678956518631731E-2</v>
      </c>
      <c r="N244">
        <f t="shared" si="53"/>
        <v>2.2335598595391499E-3</v>
      </c>
      <c r="O244">
        <v>5.7019748406639809E-11</v>
      </c>
      <c r="P244">
        <v>2.2335598025194016E-3</v>
      </c>
      <c r="Q244">
        <v>0.9977664401404609</v>
      </c>
      <c r="R244">
        <f t="shared" si="46"/>
        <v>1</v>
      </c>
      <c r="S244">
        <f t="shared" si="47"/>
        <v>200</v>
      </c>
      <c r="T244">
        <v>2.3452377926453716</v>
      </c>
      <c r="U244">
        <f t="shared" si="54"/>
        <v>202.38610679537109</v>
      </c>
      <c r="V244">
        <f t="shared" si="48"/>
        <v>1.116779929769575E-3</v>
      </c>
      <c r="W244">
        <f t="shared" si="55"/>
        <v>1.136241361841925E-3</v>
      </c>
    </row>
    <row r="245" spans="1:23">
      <c r="A245" s="2">
        <v>242</v>
      </c>
      <c r="B245" s="2">
        <v>85.166666699999993</v>
      </c>
      <c r="C245">
        <f t="shared" si="42"/>
        <v>0.49969263206065828</v>
      </c>
      <c r="D245" s="21">
        <v>4.9381502260981502E-11</v>
      </c>
      <c r="E245">
        <f t="shared" si="43"/>
        <v>0.14382176519200116</v>
      </c>
      <c r="F245" s="22">
        <f t="shared" si="49"/>
        <v>4.9381502260981502E-11</v>
      </c>
      <c r="G245">
        <f t="shared" si="50"/>
        <v>0.13395790684984588</v>
      </c>
      <c r="H245" s="21">
        <v>2.1583052062696599E-3</v>
      </c>
      <c r="I245">
        <f t="shared" si="44"/>
        <v>3.4273375241164097E-2</v>
      </c>
      <c r="J245" s="22">
        <f t="shared" si="51"/>
        <v>2.1583052062696599E-3</v>
      </c>
      <c r="K245">
        <f t="shared" si="52"/>
        <v>3.3692695966078712E-2</v>
      </c>
      <c r="L245">
        <v>7.1211431181837925E-3</v>
      </c>
      <c r="M245">
        <f t="shared" si="45"/>
        <v>3.3692695966078712E-2</v>
      </c>
      <c r="N245">
        <f t="shared" si="53"/>
        <v>2.1583052062696599E-3</v>
      </c>
      <c r="O245">
        <v>4.9381502260981502E-11</v>
      </c>
      <c r="P245">
        <v>2.1583051568881575E-3</v>
      </c>
      <c r="Q245">
        <v>0.9978416947937303</v>
      </c>
      <c r="R245">
        <f t="shared" si="46"/>
        <v>1</v>
      </c>
      <c r="S245">
        <f t="shared" si="47"/>
        <v>200</v>
      </c>
      <c r="T245">
        <v>2.2662204147325653</v>
      </c>
      <c r="U245">
        <f t="shared" si="54"/>
        <v>202.30572910368898</v>
      </c>
      <c r="V245">
        <f t="shared" si="48"/>
        <v>1.0791526031348299E-3</v>
      </c>
      <c r="W245">
        <f t="shared" si="55"/>
        <v>1.0979662664522024E-3</v>
      </c>
    </row>
    <row r="246" spans="1:23">
      <c r="A246" s="2">
        <v>243</v>
      </c>
      <c r="B246" s="2">
        <v>85.25</v>
      </c>
      <c r="C246">
        <f t="shared" si="42"/>
        <v>0.49826217182978771</v>
      </c>
      <c r="D246" s="21">
        <v>4.2761374506639803E-11</v>
      </c>
      <c r="E246">
        <f t="shared" si="43"/>
        <v>0.14394067558929863</v>
      </c>
      <c r="F246" s="22">
        <f t="shared" si="49"/>
        <v>4.2761374506639803E-11</v>
      </c>
      <c r="G246">
        <f t="shared" si="50"/>
        <v>0.13406088213668121</v>
      </c>
      <c r="H246" s="21">
        <v>2.0855565419577401E-3</v>
      </c>
      <c r="I246">
        <f t="shared" si="44"/>
        <v>3.4287540757768492E-2</v>
      </c>
      <c r="J246" s="22">
        <f t="shared" si="51"/>
        <v>2.0855565419577401E-3</v>
      </c>
      <c r="K246">
        <f t="shared" si="52"/>
        <v>3.3706384111288901E-2</v>
      </c>
      <c r="L246">
        <v>7.1211431181837925E-3</v>
      </c>
      <c r="M246">
        <f t="shared" si="45"/>
        <v>3.3706384111288901E-2</v>
      </c>
      <c r="N246">
        <f t="shared" si="53"/>
        <v>2.0855565419577401E-3</v>
      </c>
      <c r="O246">
        <v>4.2761374506639803E-11</v>
      </c>
      <c r="P246">
        <v>2.0855564991963658E-3</v>
      </c>
      <c r="Q246">
        <v>0.99791444345804226</v>
      </c>
      <c r="R246">
        <f t="shared" si="46"/>
        <v>1</v>
      </c>
      <c r="S246">
        <f t="shared" si="47"/>
        <v>200</v>
      </c>
      <c r="T246">
        <v>2.189834324156184</v>
      </c>
      <c r="U246">
        <f t="shared" si="54"/>
        <v>202.22802736944439</v>
      </c>
      <c r="V246">
        <f t="shared" si="48"/>
        <v>1.04277827097887E-3</v>
      </c>
      <c r="W246">
        <f t="shared" si="55"/>
        <v>1.06096543705685E-3</v>
      </c>
    </row>
    <row r="247" spans="1:23">
      <c r="A247" s="2">
        <v>244</v>
      </c>
      <c r="B247" s="2">
        <v>85.333333300000007</v>
      </c>
      <c r="C247">
        <f t="shared" si="42"/>
        <v>0.4968358065491742</v>
      </c>
      <c r="D247" s="21">
        <v>3.7024358577812102E-11</v>
      </c>
      <c r="E247">
        <f t="shared" si="43"/>
        <v>0.1440591943486749</v>
      </c>
      <c r="F247" s="22">
        <f t="shared" si="49"/>
        <v>3.7024358577812102E-11</v>
      </c>
      <c r="G247">
        <f t="shared" si="50"/>
        <v>0.1341635060850741</v>
      </c>
      <c r="H247" s="21">
        <v>2.0152315308235099E-3</v>
      </c>
      <c r="I247">
        <f t="shared" si="44"/>
        <v>3.4301653798409416E-2</v>
      </c>
      <c r="J247" s="22">
        <f t="shared" si="51"/>
        <v>2.0152315308235099E-3</v>
      </c>
      <c r="K247">
        <f t="shared" si="52"/>
        <v>3.3720021356129282E-2</v>
      </c>
      <c r="L247">
        <v>7.1211431181837925E-3</v>
      </c>
      <c r="M247">
        <f t="shared" si="45"/>
        <v>3.3720021356129282E-2</v>
      </c>
      <c r="N247">
        <f t="shared" si="53"/>
        <v>2.0152315308235099E-3</v>
      </c>
      <c r="O247">
        <v>3.7024358577812102E-11</v>
      </c>
      <c r="P247">
        <v>2.0152314937991514E-3</v>
      </c>
      <c r="Q247">
        <v>0.9979847684691765</v>
      </c>
      <c r="R247">
        <f t="shared" si="46"/>
        <v>1</v>
      </c>
      <c r="S247">
        <f t="shared" si="47"/>
        <v>200</v>
      </c>
      <c r="T247">
        <v>2.1159930684891091</v>
      </c>
      <c r="U247">
        <f t="shared" si="54"/>
        <v>202.15291369632266</v>
      </c>
      <c r="V247">
        <f t="shared" si="48"/>
        <v>1.0076157654117549E-3</v>
      </c>
      <c r="W247">
        <f t="shared" si="55"/>
        <v>1.0251970181953125E-3</v>
      </c>
    </row>
    <row r="248" spans="1:23">
      <c r="A248" s="2">
        <v>245</v>
      </c>
      <c r="B248" s="2">
        <v>85.416666699999993</v>
      </c>
      <c r="C248">
        <f t="shared" si="42"/>
        <v>0.49541352449628473</v>
      </c>
      <c r="D248" s="21">
        <v>3.2053254145515997E-11</v>
      </c>
      <c r="E248">
        <f t="shared" si="43"/>
        <v>0.14417732436046962</v>
      </c>
      <c r="F248" s="22">
        <f t="shared" si="49"/>
        <v>3.2053254145515997E-11</v>
      </c>
      <c r="G248">
        <f t="shared" si="50"/>
        <v>0.13426578131930633</v>
      </c>
      <c r="H248" s="21">
        <v>1.94725050013665E-3</v>
      </c>
      <c r="I248">
        <f t="shared" si="44"/>
        <v>3.4315714771790476E-2</v>
      </c>
      <c r="J248" s="22">
        <f t="shared" si="51"/>
        <v>1.94725050013665E-3</v>
      </c>
      <c r="K248">
        <f t="shared" si="52"/>
        <v>3.3733608097666012E-2</v>
      </c>
      <c r="L248">
        <v>7.1211431181837925E-3</v>
      </c>
      <c r="M248">
        <f t="shared" si="45"/>
        <v>3.3733608097666012E-2</v>
      </c>
      <c r="N248">
        <f t="shared" si="53"/>
        <v>1.94725050013665E-3</v>
      </c>
      <c r="O248">
        <v>3.2053254145515997E-11</v>
      </c>
      <c r="P248">
        <v>1.9472504680833958E-3</v>
      </c>
      <c r="Q248">
        <v>0.99805274949986333</v>
      </c>
      <c r="R248">
        <f t="shared" si="46"/>
        <v>1</v>
      </c>
      <c r="S248">
        <f t="shared" si="47"/>
        <v>200</v>
      </c>
      <c r="T248">
        <v>2.0446129914875657</v>
      </c>
      <c r="U248">
        <f t="shared" si="54"/>
        <v>202.08030302998833</v>
      </c>
      <c r="V248">
        <f t="shared" si="48"/>
        <v>9.7362525006832498E-4</v>
      </c>
      <c r="W248">
        <f t="shared" si="55"/>
        <v>9.906205077400399E-4</v>
      </c>
    </row>
    <row r="249" spans="1:23">
      <c r="A249" s="2">
        <v>246</v>
      </c>
      <c r="B249" s="2">
        <v>85.5</v>
      </c>
      <c r="C249">
        <f t="shared" si="42"/>
        <v>0.49399531398214352</v>
      </c>
      <c r="D249" s="21">
        <v>2.7746331774041499E-11</v>
      </c>
      <c r="E249">
        <f t="shared" si="43"/>
        <v>0.14429506848197901</v>
      </c>
      <c r="F249" s="22">
        <f t="shared" si="49"/>
        <v>2.7746331774041499E-11</v>
      </c>
      <c r="G249">
        <f t="shared" si="50"/>
        <v>0.13436771043345075</v>
      </c>
      <c r="H249" s="21">
        <v>1.88153635568634E-3</v>
      </c>
      <c r="I249">
        <f t="shared" si="44"/>
        <v>3.4329724081788415E-2</v>
      </c>
      <c r="J249" s="22">
        <f t="shared" si="51"/>
        <v>1.88153635568634E-3</v>
      </c>
      <c r="K249">
        <f t="shared" si="52"/>
        <v>3.3747144728271117E-2</v>
      </c>
      <c r="L249">
        <v>7.1211431181837925E-3</v>
      </c>
      <c r="M249">
        <f t="shared" si="45"/>
        <v>3.3747144728271117E-2</v>
      </c>
      <c r="N249">
        <f t="shared" si="53"/>
        <v>1.88153635568634E-3</v>
      </c>
      <c r="O249">
        <v>2.7746331774041499E-11</v>
      </c>
      <c r="P249">
        <v>1.8815363279400083E-3</v>
      </c>
      <c r="Q249">
        <v>0.99811846364431367</v>
      </c>
      <c r="R249">
        <f t="shared" si="46"/>
        <v>1</v>
      </c>
      <c r="S249">
        <f t="shared" si="47"/>
        <v>200</v>
      </c>
      <c r="T249">
        <v>1.9756131443370086</v>
      </c>
      <c r="U249">
        <f t="shared" si="54"/>
        <v>202.01011306791227</v>
      </c>
      <c r="V249">
        <f t="shared" si="48"/>
        <v>9.4076817784317002E-4</v>
      </c>
      <c r="W249">
        <f t="shared" si="55"/>
        <v>9.571967139557475E-4</v>
      </c>
    </row>
    <row r="250" spans="1:23">
      <c r="A250" s="2">
        <v>247</v>
      </c>
      <c r="B250" s="2">
        <v>85.583333300000007</v>
      </c>
      <c r="C250">
        <f t="shared" si="42"/>
        <v>0.49258116335123703</v>
      </c>
      <c r="D250" s="21">
        <v>2.4015302074029899E-11</v>
      </c>
      <c r="E250">
        <f t="shared" si="43"/>
        <v>0.1444124295379752</v>
      </c>
      <c r="F250" s="22">
        <f t="shared" si="49"/>
        <v>2.4015302074029899E-11</v>
      </c>
      <c r="G250">
        <f t="shared" si="50"/>
        <v>0.13446929599184787</v>
      </c>
      <c r="H250" s="21">
        <v>1.81801449987289E-3</v>
      </c>
      <c r="I250">
        <f t="shared" si="44"/>
        <v>3.4343682127503147E-2</v>
      </c>
      <c r="J250" s="22">
        <f t="shared" si="51"/>
        <v>1.81801449987289E-3</v>
      </c>
      <c r="K250">
        <f t="shared" si="52"/>
        <v>3.3760631635671334E-2</v>
      </c>
      <c r="L250">
        <v>7.1211431181837925E-3</v>
      </c>
      <c r="M250">
        <f t="shared" si="45"/>
        <v>3.3760631635671334E-2</v>
      </c>
      <c r="N250">
        <f t="shared" si="53"/>
        <v>1.81801449987289E-3</v>
      </c>
      <c r="O250">
        <v>2.4015302074029899E-11</v>
      </c>
      <c r="P250">
        <v>1.8180144758575879E-3</v>
      </c>
      <c r="Q250">
        <v>0.99818198550012716</v>
      </c>
      <c r="R250">
        <f t="shared" si="46"/>
        <v>1</v>
      </c>
      <c r="S250">
        <f t="shared" si="47"/>
        <v>200</v>
      </c>
      <c r="T250">
        <v>1.9089151996504672</v>
      </c>
      <c r="U250">
        <f t="shared" si="54"/>
        <v>201.94226417199371</v>
      </c>
      <c r="V250">
        <f t="shared" si="48"/>
        <v>9.09007249936445E-4</v>
      </c>
      <c r="W250">
        <f t="shared" si="55"/>
        <v>9.2488771388980751E-4</v>
      </c>
    </row>
    <row r="251" spans="1:23">
      <c r="A251" s="2">
        <v>248</v>
      </c>
      <c r="B251" s="2">
        <v>85.666666699999993</v>
      </c>
      <c r="C251">
        <f t="shared" si="42"/>
        <v>0.49117106098141811</v>
      </c>
      <c r="D251" s="21">
        <v>2.07835498929478E-11</v>
      </c>
      <c r="E251">
        <f t="shared" si="43"/>
        <v>0.14452941032116343</v>
      </c>
      <c r="F251" s="22">
        <f t="shared" si="49"/>
        <v>2.07835498929478E-11</v>
      </c>
      <c r="G251">
        <f t="shared" si="50"/>
        <v>0.1345705405295281</v>
      </c>
      <c r="H251" s="21">
        <v>1.7566127523420199E-3</v>
      </c>
      <c r="I251">
        <f t="shared" si="44"/>
        <v>3.4357589303371044E-2</v>
      </c>
      <c r="J251" s="22">
        <f t="shared" si="51"/>
        <v>1.7566127523420199E-3</v>
      </c>
      <c r="K251">
        <f t="shared" si="52"/>
        <v>3.3774069203058144E-2</v>
      </c>
      <c r="L251">
        <v>7.1211431181837925E-3</v>
      </c>
      <c r="M251">
        <f t="shared" si="45"/>
        <v>3.3774069203058144E-2</v>
      </c>
      <c r="N251">
        <f t="shared" si="53"/>
        <v>1.7566127523420199E-3</v>
      </c>
      <c r="O251">
        <v>2.07835498929478E-11</v>
      </c>
      <c r="P251">
        <v>1.7566127315584701E-3</v>
      </c>
      <c r="Q251">
        <v>0.99824338724765793</v>
      </c>
      <c r="R251">
        <f t="shared" si="46"/>
        <v>1</v>
      </c>
      <c r="S251">
        <f t="shared" si="47"/>
        <v>200</v>
      </c>
      <c r="T251">
        <v>1.8444433681363936</v>
      </c>
      <c r="U251">
        <f t="shared" si="54"/>
        <v>201.87667928389342</v>
      </c>
      <c r="V251">
        <f t="shared" si="48"/>
        <v>8.7830637617100995E-4</v>
      </c>
      <c r="W251">
        <f t="shared" si="55"/>
        <v>8.9365681305372748E-4</v>
      </c>
    </row>
    <row r="252" spans="1:23">
      <c r="A252" s="2">
        <v>249</v>
      </c>
      <c r="B252" s="2">
        <v>85.75</v>
      </c>
      <c r="C252">
        <f t="shared" si="42"/>
        <v>0.48976499528380929</v>
      </c>
      <c r="D252" s="21">
        <v>1.79845991643639E-11</v>
      </c>
      <c r="E252">
        <f t="shared" si="43"/>
        <v>0.14464601359273885</v>
      </c>
      <c r="F252" s="22">
        <f t="shared" si="49"/>
        <v>1.79845991643639E-11</v>
      </c>
      <c r="G252">
        <f t="shared" si="50"/>
        <v>0.13467144655271956</v>
      </c>
      <c r="H252" s="21">
        <v>1.6972612730852901E-3</v>
      </c>
      <c r="I252">
        <f t="shared" si="44"/>
        <v>3.4371445999204671E-2</v>
      </c>
      <c r="J252" s="22">
        <f t="shared" si="51"/>
        <v>1.6972612730852901E-3</v>
      </c>
      <c r="K252">
        <f t="shared" si="52"/>
        <v>3.378745780912662E-2</v>
      </c>
      <c r="L252">
        <v>7.1211431181837925E-3</v>
      </c>
      <c r="M252">
        <f t="shared" si="45"/>
        <v>3.378745780912662E-2</v>
      </c>
      <c r="N252">
        <f t="shared" si="53"/>
        <v>1.6972612730852901E-3</v>
      </c>
      <c r="O252">
        <v>1.79845991643639E-11</v>
      </c>
      <c r="P252">
        <v>1.6972612551006908E-3</v>
      </c>
      <c r="Q252">
        <v>0.99830273872691466</v>
      </c>
      <c r="R252">
        <f t="shared" si="46"/>
        <v>1</v>
      </c>
      <c r="S252">
        <f t="shared" si="47"/>
        <v>200</v>
      </c>
      <c r="T252">
        <v>1.7821243178557253</v>
      </c>
      <c r="U252">
        <f t="shared" si="54"/>
        <v>201.81328384299607</v>
      </c>
      <c r="V252">
        <f t="shared" si="48"/>
        <v>8.4863063654264505E-4</v>
      </c>
      <c r="W252">
        <f t="shared" si="55"/>
        <v>8.634685063568275E-4</v>
      </c>
    </row>
    <row r="253" spans="1:23">
      <c r="A253" s="2">
        <v>250</v>
      </c>
      <c r="B253" s="2">
        <v>85.833333300000007</v>
      </c>
      <c r="C253">
        <f t="shared" si="42"/>
        <v>0.48836295470270874</v>
      </c>
      <c r="D253" s="21">
        <v>1.5560778468332501E-11</v>
      </c>
      <c r="E253">
        <f t="shared" si="43"/>
        <v>0.14476224208281918</v>
      </c>
      <c r="F253" s="22">
        <f t="shared" si="49"/>
        <v>1.5560778468332501E-11</v>
      </c>
      <c r="G253">
        <f t="shared" si="50"/>
        <v>0.13477201653924809</v>
      </c>
      <c r="H253" s="21">
        <v>1.63989248793221E-3</v>
      </c>
      <c r="I253">
        <f t="shared" si="44"/>
        <v>3.4385252600254601E-2</v>
      </c>
      <c r="J253" s="22">
        <f t="shared" si="51"/>
        <v>1.63989248793221E-3</v>
      </c>
      <c r="K253">
        <f t="shared" si="52"/>
        <v>3.380079782813572E-2</v>
      </c>
      <c r="L253">
        <v>7.1211431181837925E-3</v>
      </c>
      <c r="M253">
        <f t="shared" si="45"/>
        <v>3.380079782813572E-2</v>
      </c>
      <c r="N253">
        <f t="shared" si="53"/>
        <v>1.63989248793221E-3</v>
      </c>
      <c r="O253">
        <v>1.5560778468332501E-11</v>
      </c>
      <c r="P253">
        <v>1.6398924723714317E-3</v>
      </c>
      <c r="Q253">
        <v>0.99836010751206783</v>
      </c>
      <c r="R253">
        <f t="shared" si="46"/>
        <v>1</v>
      </c>
      <c r="S253">
        <f t="shared" si="47"/>
        <v>200</v>
      </c>
      <c r="T253">
        <v>1.7218870959900032</v>
      </c>
      <c r="U253">
        <f t="shared" si="54"/>
        <v>201.75200570692289</v>
      </c>
      <c r="V253">
        <f t="shared" si="48"/>
        <v>8.1994624396610502E-4</v>
      </c>
      <c r="W253">
        <f t="shared" si="55"/>
        <v>8.3428844025437503E-4</v>
      </c>
    </row>
    <row r="254" spans="1:23">
      <c r="A254" s="2">
        <v>251</v>
      </c>
      <c r="B254" s="2">
        <v>85.916666699999993</v>
      </c>
      <c r="C254">
        <f t="shared" si="42"/>
        <v>0.48696492771549515</v>
      </c>
      <c r="D254" s="21">
        <v>1.34620612188243E-11</v>
      </c>
      <c r="E254">
        <f t="shared" si="43"/>
        <v>0.14487809849091474</v>
      </c>
      <c r="F254" s="22">
        <f t="shared" si="49"/>
        <v>1.34620612188243E-11</v>
      </c>
      <c r="G254">
        <f t="shared" si="50"/>
        <v>0.13487225293896887</v>
      </c>
      <c r="H254" s="21">
        <v>1.5844410163616399E-3</v>
      </c>
      <c r="I254">
        <f t="shared" si="44"/>
        <v>3.4399009487345943E-2</v>
      </c>
      <c r="J254" s="22">
        <f t="shared" si="51"/>
        <v>1.5844410163616399E-3</v>
      </c>
      <c r="K254">
        <f t="shared" si="52"/>
        <v>3.3814089630040622E-2</v>
      </c>
      <c r="L254">
        <v>7.1211431181837925E-3</v>
      </c>
      <c r="M254">
        <f t="shared" si="45"/>
        <v>3.3814089630040622E-2</v>
      </c>
      <c r="N254">
        <f t="shared" si="53"/>
        <v>1.5844410163616399E-3</v>
      </c>
      <c r="O254">
        <v>1.34620612188243E-11</v>
      </c>
      <c r="P254">
        <v>1.5844410028995786E-3</v>
      </c>
      <c r="Q254">
        <v>0.99841555898363832</v>
      </c>
      <c r="R254">
        <f t="shared" si="46"/>
        <v>1</v>
      </c>
      <c r="S254">
        <f t="shared" si="47"/>
        <v>200</v>
      </c>
      <c r="T254">
        <v>1.6636630530445575</v>
      </c>
      <c r="U254">
        <f t="shared" si="54"/>
        <v>201.69277507451727</v>
      </c>
      <c r="V254">
        <f t="shared" si="48"/>
        <v>7.9222050818081996E-4</v>
      </c>
      <c r="W254">
        <f t="shared" si="55"/>
        <v>8.0608337607346249E-4</v>
      </c>
    </row>
    <row r="255" spans="1:23">
      <c r="A255" s="2">
        <v>252</v>
      </c>
      <c r="B255" s="2">
        <v>86</v>
      </c>
      <c r="C255">
        <f t="shared" si="42"/>
        <v>0.48557090283253235</v>
      </c>
      <c r="D255" s="21">
        <v>1.16450577626456E-11</v>
      </c>
      <c r="E255">
        <f t="shared" si="43"/>
        <v>0.14499358548646835</v>
      </c>
      <c r="F255" s="22">
        <f t="shared" si="49"/>
        <v>1.16450577626456E-11</v>
      </c>
      <c r="G255">
        <f t="shared" si="50"/>
        <v>0.13497215817425823</v>
      </c>
      <c r="H255" s="21">
        <v>1.5308436015625999E-3</v>
      </c>
      <c r="I255">
        <f t="shared" si="44"/>
        <v>3.4412717036851587E-2</v>
      </c>
      <c r="J255" s="22">
        <f t="shared" si="51"/>
        <v>1.5308436015625999E-3</v>
      </c>
      <c r="K255">
        <f t="shared" si="52"/>
        <v>3.3827333580467411E-2</v>
      </c>
      <c r="L255">
        <v>8.0914290970839353E-3</v>
      </c>
      <c r="M255">
        <f t="shared" si="45"/>
        <v>3.3827333580467411E-2</v>
      </c>
      <c r="N255">
        <f t="shared" si="53"/>
        <v>1.5308436015625999E-3</v>
      </c>
      <c r="O255">
        <v>1.16450577626456E-11</v>
      </c>
      <c r="P255">
        <v>1.5308435899175422E-3</v>
      </c>
      <c r="Q255">
        <v>0.99846915639843736</v>
      </c>
      <c r="R255">
        <f t="shared" si="46"/>
        <v>1</v>
      </c>
      <c r="S255">
        <f t="shared" si="47"/>
        <v>200</v>
      </c>
      <c r="T255">
        <v>1.6073857694134193</v>
      </c>
      <c r="U255">
        <f t="shared" si="54"/>
        <v>201.635524411229</v>
      </c>
      <c r="V255">
        <f t="shared" si="48"/>
        <v>7.6542180078129996E-4</v>
      </c>
      <c r="W255">
        <f t="shared" si="55"/>
        <v>7.7882115448105996E-4</v>
      </c>
    </row>
    <row r="256" spans="1:23">
      <c r="A256" s="2">
        <v>253</v>
      </c>
      <c r="B256" s="2">
        <v>86.083333300000007</v>
      </c>
      <c r="C256">
        <f t="shared" si="42"/>
        <v>0.4841808685970756</v>
      </c>
      <c r="D256" s="21">
        <v>1.00721396106585E-11</v>
      </c>
      <c r="E256">
        <f t="shared" si="43"/>
        <v>0.14510870570916534</v>
      </c>
      <c r="F256" s="22">
        <f t="shared" si="49"/>
        <v>1.00721396106585E-11</v>
      </c>
      <c r="G256">
        <f t="shared" si="50"/>
        <v>0.13507173464030586</v>
      </c>
      <c r="H256" s="21">
        <v>1.4790390426760299E-3</v>
      </c>
      <c r="I256">
        <f t="shared" si="44"/>
        <v>3.4426375620865708E-2</v>
      </c>
      <c r="J256" s="22">
        <f t="shared" si="51"/>
        <v>1.4790390426760299E-3</v>
      </c>
      <c r="K256">
        <f t="shared" si="52"/>
        <v>3.3840530040881167E-2</v>
      </c>
      <c r="L256">
        <v>8.0914290970839353E-3</v>
      </c>
      <c r="M256">
        <f t="shared" si="45"/>
        <v>3.3840530040881167E-2</v>
      </c>
      <c r="N256">
        <f t="shared" si="53"/>
        <v>1.4790390426760299E-3</v>
      </c>
      <c r="O256">
        <v>1.00721396106585E-11</v>
      </c>
      <c r="P256">
        <v>1.4790390326038904E-3</v>
      </c>
      <c r="Q256">
        <v>0.99852096095732401</v>
      </c>
      <c r="R256">
        <f t="shared" si="46"/>
        <v>1</v>
      </c>
      <c r="S256">
        <f t="shared" si="47"/>
        <v>200</v>
      </c>
      <c r="T256">
        <v>1.552990984234085</v>
      </c>
      <c r="U256">
        <f t="shared" si="54"/>
        <v>201.58018837682374</v>
      </c>
      <c r="V256">
        <f t="shared" si="48"/>
        <v>7.3951952133801497E-4</v>
      </c>
      <c r="W256">
        <f t="shared" si="55"/>
        <v>7.5247066105965741E-4</v>
      </c>
    </row>
    <row r="257" spans="1:23">
      <c r="A257" s="2">
        <v>254</v>
      </c>
      <c r="B257" s="2">
        <v>86.166666699999993</v>
      </c>
      <c r="C257">
        <f t="shared" si="42"/>
        <v>0.48279481358517712</v>
      </c>
      <c r="D257" s="21">
        <v>8.7106785813929702E-12</v>
      </c>
      <c r="E257">
        <f t="shared" si="43"/>
        <v>0.14522346176952927</v>
      </c>
      <c r="F257" s="22">
        <f t="shared" si="49"/>
        <v>8.7106785813929702E-12</v>
      </c>
      <c r="G257">
        <f t="shared" si="50"/>
        <v>0.13517098470565381</v>
      </c>
      <c r="H257" s="21">
        <v>1.42896812915172E-3</v>
      </c>
      <c r="I257">
        <f t="shared" si="44"/>
        <v>3.4439985607158032E-2</v>
      </c>
      <c r="J257" s="22">
        <f t="shared" si="51"/>
        <v>1.42896812915172E-3</v>
      </c>
      <c r="K257">
        <f t="shared" si="52"/>
        <v>3.3853679368542222E-2</v>
      </c>
      <c r="L257">
        <v>8.0914290970839353E-3</v>
      </c>
      <c r="M257">
        <f t="shared" si="45"/>
        <v>3.3853679368542222E-2</v>
      </c>
      <c r="N257">
        <f t="shared" si="53"/>
        <v>1.42896812915172E-3</v>
      </c>
      <c r="O257">
        <v>8.7106785813929702E-12</v>
      </c>
      <c r="P257">
        <v>1.4289681204410413E-3</v>
      </c>
      <c r="Q257">
        <v>0.99857103187084828</v>
      </c>
      <c r="R257">
        <f t="shared" si="46"/>
        <v>1</v>
      </c>
      <c r="S257">
        <f t="shared" si="47"/>
        <v>200</v>
      </c>
      <c r="T257">
        <v>1.5004165264630933</v>
      </c>
      <c r="U257">
        <f t="shared" si="54"/>
        <v>201.52670375534859</v>
      </c>
      <c r="V257">
        <f t="shared" si="48"/>
        <v>7.1448406457586E-4</v>
      </c>
      <c r="W257">
        <f t="shared" si="55"/>
        <v>7.2700179295693743E-4</v>
      </c>
    </row>
    <row r="258" spans="1:23">
      <c r="A258" s="2">
        <v>255</v>
      </c>
      <c r="B258" s="2">
        <v>86.25</v>
      </c>
      <c r="C258">
        <f t="shared" si="42"/>
        <v>0.48141272640559202</v>
      </c>
      <c r="D258" s="21">
        <v>7.5323858674423694E-12</v>
      </c>
      <c r="E258">
        <f t="shared" si="43"/>
        <v>0.1453378562492843</v>
      </c>
      <c r="F258" s="22">
        <f t="shared" si="49"/>
        <v>7.5323858674423694E-12</v>
      </c>
      <c r="G258">
        <f t="shared" si="50"/>
        <v>0.13526991071253303</v>
      </c>
      <c r="H258" s="21">
        <v>1.38057357715585E-3</v>
      </c>
      <c r="I258">
        <f t="shared" si="44"/>
        <v>3.4453547359355123E-2</v>
      </c>
      <c r="J258" s="22">
        <f t="shared" si="51"/>
        <v>1.38057357715585E-3</v>
      </c>
      <c r="K258">
        <f t="shared" si="52"/>
        <v>3.3866781916681798E-2</v>
      </c>
      <c r="L258">
        <v>8.0914290970839353E-3</v>
      </c>
      <c r="M258">
        <f t="shared" si="45"/>
        <v>3.3866781916681798E-2</v>
      </c>
      <c r="N258">
        <f t="shared" si="53"/>
        <v>1.38057357715585E-3</v>
      </c>
      <c r="O258">
        <v>7.5323858674423694E-12</v>
      </c>
      <c r="P258">
        <v>1.380573569623464E-3</v>
      </c>
      <c r="Q258">
        <v>0.99861942642284418</v>
      </c>
      <c r="R258">
        <f t="shared" si="46"/>
        <v>1</v>
      </c>
      <c r="S258">
        <f t="shared" si="47"/>
        <v>200</v>
      </c>
      <c r="T258">
        <v>1.4496022481046371</v>
      </c>
      <c r="U258">
        <f t="shared" si="54"/>
        <v>201.47500938728385</v>
      </c>
      <c r="V258">
        <f t="shared" si="48"/>
        <v>6.9028678857792499E-4</v>
      </c>
      <c r="W258">
        <f t="shared" si="55"/>
        <v>7.0238542657689255E-4</v>
      </c>
    </row>
    <row r="259" spans="1:23">
      <c r="A259" s="2">
        <v>256</v>
      </c>
      <c r="B259" s="2">
        <v>86.333333300000007</v>
      </c>
      <c r="C259">
        <f t="shared" ref="C259:C322" si="56">1/(1+Disc_rate_per_cyc)^$A259</f>
        <v>0.48003459569968543</v>
      </c>
      <c r="D259" s="21">
        <v>6.5127379783311E-12</v>
      </c>
      <c r="E259">
        <f t="shared" si="43"/>
        <v>0.1454518917017712</v>
      </c>
      <c r="F259" s="22">
        <f t="shared" si="49"/>
        <v>6.5127379783311E-12</v>
      </c>
      <c r="G259">
        <f t="shared" si="50"/>
        <v>0.13536851497724611</v>
      </c>
      <c r="H259" s="21">
        <v>1.3337999679671299E-3</v>
      </c>
      <c r="I259">
        <f t="shared" si="44"/>
        <v>3.4467061236914995E-2</v>
      </c>
      <c r="J259" s="22">
        <f t="shared" si="51"/>
        <v>1.3337999679671299E-3</v>
      </c>
      <c r="K259">
        <f t="shared" si="52"/>
        <v>3.3879838034477916E-2</v>
      </c>
      <c r="L259">
        <v>8.0914290970839353E-3</v>
      </c>
      <c r="M259">
        <f t="shared" si="45"/>
        <v>3.3879838034477916E-2</v>
      </c>
      <c r="N259">
        <f t="shared" si="53"/>
        <v>1.3337999679671299E-3</v>
      </c>
      <c r="O259">
        <v>6.5127379783311E-12</v>
      </c>
      <c r="P259">
        <v>1.3337999614543919E-3</v>
      </c>
      <c r="Q259">
        <v>0.99866620003203288</v>
      </c>
      <c r="R259">
        <f t="shared" si="46"/>
        <v>1</v>
      </c>
      <c r="S259">
        <f t="shared" si="47"/>
        <v>200</v>
      </c>
      <c r="T259">
        <v>1.4004899595271114</v>
      </c>
      <c r="U259">
        <f t="shared" si="54"/>
        <v>201.42504610381587</v>
      </c>
      <c r="V259">
        <f t="shared" si="48"/>
        <v>6.6689998398356497E-4</v>
      </c>
      <c r="W259">
        <f t="shared" si="55"/>
        <v>6.7859338628074493E-4</v>
      </c>
    </row>
    <row r="260" spans="1:23">
      <c r="A260" s="2">
        <v>257</v>
      </c>
      <c r="B260" s="2">
        <v>86.416666699999993</v>
      </c>
      <c r="C260">
        <f t="shared" si="56"/>
        <v>0.47866041014133798</v>
      </c>
      <c r="D260" s="21">
        <v>5.6304782065319398E-12</v>
      </c>
      <c r="E260">
        <f t="shared" ref="E260:E323" si="57">-LN(D260/D259)*psa_hrscl_pfs_VtUs</f>
        <v>0.14556557065241194</v>
      </c>
      <c r="F260" s="22">
        <f t="shared" si="49"/>
        <v>5.6304782065319398E-12</v>
      </c>
      <c r="G260">
        <f t="shared" si="50"/>
        <v>0.1354667997905914</v>
      </c>
      <c r="H260" s="21">
        <v>1.2885936883008601E-3</v>
      </c>
      <c r="I260">
        <f t="shared" ref="I260:I323" si="58">-LN(H260/H259)*PSA_trtHRsclr_os_VtUs</f>
        <v>3.4480527595217116E-2</v>
      </c>
      <c r="J260" s="22">
        <f t="shared" si="51"/>
        <v>1.2885936883008601E-3</v>
      </c>
      <c r="K260">
        <f t="shared" si="52"/>
        <v>3.3892848067142767E-2</v>
      </c>
      <c r="L260">
        <v>8.0914290970839353E-3</v>
      </c>
      <c r="M260">
        <f t="shared" ref="M260:M323" si="59">MAX(K260:L260)</f>
        <v>3.3892848067142767E-2</v>
      </c>
      <c r="N260">
        <f t="shared" si="53"/>
        <v>1.2885936883008601E-3</v>
      </c>
      <c r="O260">
        <v>5.6304782065319398E-12</v>
      </c>
      <c r="P260">
        <v>1.2885936826703818E-3</v>
      </c>
      <c r="Q260">
        <v>0.99871140631169919</v>
      </c>
      <c r="R260">
        <f t="shared" ref="R260:R323" si="60">SUM(O260:Q260)</f>
        <v>1</v>
      </c>
      <c r="S260">
        <f t="shared" ref="S260:S323" si="61">IF(A260&lt;24,O260*trt_lst_price*(1-trt_pas_disc),Mntr_Adm_cst_VtUs)</f>
        <v>200</v>
      </c>
      <c r="T260">
        <v>1.3530233668039009</v>
      </c>
      <c r="U260">
        <f t="shared" si="54"/>
        <v>201.37675666316551</v>
      </c>
      <c r="V260">
        <f t="shared" ref="V260:V323" si="62">IF(A259&lt;=3,pd_ulty_VtUs-Utlty_AE_Disutlt,pd_ulty_VtUs)*O260+pd_ulty_VtUs*P260</f>
        <v>6.4429684415043004E-4</v>
      </c>
      <c r="W260">
        <f t="shared" si="55"/>
        <v>6.5559841406699756E-4</v>
      </c>
    </row>
    <row r="261" spans="1:23">
      <c r="A261" s="2">
        <v>258</v>
      </c>
      <c r="B261" s="2">
        <v>86.5</v>
      </c>
      <c r="C261">
        <f t="shared" si="56"/>
        <v>0.47729015843685368</v>
      </c>
      <c r="D261" s="21">
        <v>4.8671837380100602E-12</v>
      </c>
      <c r="E261">
        <f t="shared" si="57"/>
        <v>0.14567889559910163</v>
      </c>
      <c r="F261" s="22">
        <f t="shared" ref="F261:F324" si="63">D260*EXP(-E261)</f>
        <v>4.8671837380100602E-12</v>
      </c>
      <c r="G261">
        <f t="shared" ref="G261:G324" si="64">1-D261/D260</f>
        <v>0.13556476741822365</v>
      </c>
      <c r="H261" s="21">
        <v>1.2449028725021801E-3</v>
      </c>
      <c r="I261">
        <f t="shared" si="58"/>
        <v>3.4493946785662019E-2</v>
      </c>
      <c r="J261" s="22">
        <f t="shared" ref="J261:J324" si="65">H260*EXP(-I261)</f>
        <v>1.2449028725021801E-3</v>
      </c>
      <c r="K261">
        <f t="shared" ref="K261:K324" si="66">1-J261/J260</f>
        <v>3.3905812356019416E-2</v>
      </c>
      <c r="L261">
        <v>8.0914290970839353E-3</v>
      </c>
      <c r="M261">
        <f t="shared" si="59"/>
        <v>3.3905812356019416E-2</v>
      </c>
      <c r="N261">
        <f t="shared" ref="N261:N324" si="67">N260*(1-M261)</f>
        <v>1.2449028725021801E-3</v>
      </c>
      <c r="O261">
        <v>4.8671837380100602E-12</v>
      </c>
      <c r="P261">
        <v>1.2449028676349964E-3</v>
      </c>
      <c r="Q261">
        <v>0.99875509712749777</v>
      </c>
      <c r="R261">
        <f t="shared" si="60"/>
        <v>1</v>
      </c>
      <c r="S261">
        <f t="shared" si="61"/>
        <v>200</v>
      </c>
      <c r="T261">
        <v>1.3071480110167462</v>
      </c>
      <c r="U261">
        <f t="shared" ref="U261:U324" si="68">(S261+T261+S260+T260)/2</f>
        <v>201.33008568891032</v>
      </c>
      <c r="V261">
        <f t="shared" si="62"/>
        <v>6.2245143625109004E-4</v>
      </c>
      <c r="W261">
        <f t="shared" si="55"/>
        <v>6.3337414020075999E-4</v>
      </c>
    </row>
    <row r="262" spans="1:23">
      <c r="A262" s="2">
        <v>259</v>
      </c>
      <c r="B262" s="2">
        <v>86.583333300000007</v>
      </c>
      <c r="C262">
        <f t="shared" si="56"/>
        <v>0.47592382932486693</v>
      </c>
      <c r="D262" s="21">
        <v>4.2068898130352997E-12</v>
      </c>
      <c r="E262">
        <f t="shared" si="57"/>
        <v>0.14579186901260335</v>
      </c>
      <c r="F262" s="22">
        <f t="shared" si="63"/>
        <v>4.2068898130352997E-12</v>
      </c>
      <c r="G262">
        <f t="shared" si="64"/>
        <v>0.13566242010101726</v>
      </c>
      <c r="H262" s="21">
        <v>1.2026773465516501E-3</v>
      </c>
      <c r="I262">
        <f t="shared" si="58"/>
        <v>3.4507319155662637E-2</v>
      </c>
      <c r="J262" s="22">
        <f t="shared" si="65"/>
        <v>1.2026773465516501E-3</v>
      </c>
      <c r="K262">
        <f t="shared" si="66"/>
        <v>3.3918731238573807E-2</v>
      </c>
      <c r="L262">
        <v>8.0914290970839353E-3</v>
      </c>
      <c r="M262">
        <f t="shared" si="59"/>
        <v>3.3918731238573807E-2</v>
      </c>
      <c r="N262">
        <f t="shared" si="67"/>
        <v>1.2026773465516501E-3</v>
      </c>
      <c r="O262">
        <v>4.2068898130352997E-12</v>
      </c>
      <c r="P262">
        <v>1.2026773423447603E-3</v>
      </c>
      <c r="Q262">
        <v>0.99879732265344834</v>
      </c>
      <c r="R262">
        <f t="shared" si="60"/>
        <v>1</v>
      </c>
      <c r="S262">
        <f t="shared" si="61"/>
        <v>200</v>
      </c>
      <c r="T262">
        <v>1.2628112094619983</v>
      </c>
      <c r="U262">
        <f t="shared" si="68"/>
        <v>201.28497961023939</v>
      </c>
      <c r="V262">
        <f t="shared" si="62"/>
        <v>6.0133867327582505E-4</v>
      </c>
      <c r="W262">
        <f t="shared" ref="W262:W325" si="69">(V261+V262)/2</f>
        <v>6.1189505476345754E-4</v>
      </c>
    </row>
    <row r="263" spans="1:23">
      <c r="A263" s="2">
        <v>260</v>
      </c>
      <c r="B263" s="2">
        <v>86.666666699999993</v>
      </c>
      <c r="C263">
        <f t="shared" si="56"/>
        <v>0.47456141157624948</v>
      </c>
      <c r="D263" s="21">
        <v>3.6357634614378801E-12</v>
      </c>
      <c r="E263">
        <f t="shared" si="57"/>
        <v>0.14590449333697614</v>
      </c>
      <c r="F263" s="22">
        <f t="shared" si="63"/>
        <v>3.6357634614378801E-12</v>
      </c>
      <c r="G263">
        <f t="shared" si="64"/>
        <v>0.1357597600554572</v>
      </c>
      <c r="H263" s="21">
        <v>1.16186857382767E-3</v>
      </c>
      <c r="I263">
        <f t="shared" si="58"/>
        <v>3.4520645048762663E-2</v>
      </c>
      <c r="J263" s="22">
        <f t="shared" si="65"/>
        <v>1.16186857382767E-3</v>
      </c>
      <c r="K263">
        <f t="shared" si="66"/>
        <v>3.3931605048509561E-2</v>
      </c>
      <c r="L263">
        <v>8.0914290970839353E-3</v>
      </c>
      <c r="M263">
        <f t="shared" si="59"/>
        <v>3.3931605048509561E-2</v>
      </c>
      <c r="N263">
        <f t="shared" si="67"/>
        <v>1.16186857382767E-3</v>
      </c>
      <c r="O263">
        <v>3.6357634614378801E-12</v>
      </c>
      <c r="P263">
        <v>1.1618685701919064E-3</v>
      </c>
      <c r="Q263">
        <v>0.99883813142617228</v>
      </c>
      <c r="R263">
        <f t="shared" si="60"/>
        <v>1</v>
      </c>
      <c r="S263">
        <f t="shared" si="61"/>
        <v>200</v>
      </c>
      <c r="T263">
        <v>1.2199619987015018</v>
      </c>
      <c r="U263">
        <f t="shared" si="68"/>
        <v>201.24138660408173</v>
      </c>
      <c r="V263">
        <f t="shared" si="62"/>
        <v>5.8093428691383499E-4</v>
      </c>
      <c r="W263">
        <f t="shared" si="69"/>
        <v>5.9113648009483002E-4</v>
      </c>
    </row>
    <row r="264" spans="1:23">
      <c r="A264" s="2">
        <v>261</v>
      </c>
      <c r="B264" s="2">
        <v>86.75</v>
      </c>
      <c r="C264">
        <f t="shared" si="56"/>
        <v>0.47320289399401871</v>
      </c>
      <c r="D264" s="21">
        <v>3.1418203102801702E-12</v>
      </c>
      <c r="E264">
        <f t="shared" si="57"/>
        <v>0.14601677098993091</v>
      </c>
      <c r="F264" s="22">
        <f t="shared" si="63"/>
        <v>3.1418203102801702E-12</v>
      </c>
      <c r="G264">
        <f t="shared" si="64"/>
        <v>0.13585678947396762</v>
      </c>
      <c r="H264" s="21">
        <v>1.12242960257215E-3</v>
      </c>
      <c r="I264">
        <f t="shared" si="58"/>
        <v>3.4533924804676486E-2</v>
      </c>
      <c r="J264" s="22">
        <f t="shared" si="65"/>
        <v>1.12242960257215E-3</v>
      </c>
      <c r="K264">
        <f t="shared" si="66"/>
        <v>3.3944434115806943E-2</v>
      </c>
      <c r="L264">
        <v>8.0914290970839353E-3</v>
      </c>
      <c r="M264">
        <f t="shared" si="59"/>
        <v>3.3944434115806943E-2</v>
      </c>
      <c r="N264">
        <f t="shared" si="67"/>
        <v>1.12242960257215E-3</v>
      </c>
      <c r="O264">
        <v>3.1418203102801702E-12</v>
      </c>
      <c r="P264">
        <v>1.1224295994303297E-3</v>
      </c>
      <c r="Q264">
        <v>0.99887757039742786</v>
      </c>
      <c r="R264">
        <f t="shared" si="60"/>
        <v>1</v>
      </c>
      <c r="S264">
        <f t="shared" si="61"/>
        <v>200</v>
      </c>
      <c r="T264">
        <v>1.1785510794018461</v>
      </c>
      <c r="U264">
        <f t="shared" si="68"/>
        <v>201.19925653905165</v>
      </c>
      <c r="V264">
        <f t="shared" si="62"/>
        <v>5.6121480128607502E-4</v>
      </c>
      <c r="W264">
        <f t="shared" si="69"/>
        <v>5.7107454409995495E-4</v>
      </c>
    </row>
    <row r="265" spans="1:23">
      <c r="A265" s="2">
        <v>262</v>
      </c>
      <c r="B265" s="2">
        <v>86.833333300000007</v>
      </c>
      <c r="C265">
        <f t="shared" si="56"/>
        <v>0.4718482654132452</v>
      </c>
      <c r="D265" s="21">
        <v>2.71467880965791E-12</v>
      </c>
      <c r="E265">
        <f t="shared" si="57"/>
        <v>0.14612870436324998</v>
      </c>
      <c r="F265" s="22">
        <f t="shared" si="63"/>
        <v>2.71467880965791E-12</v>
      </c>
      <c r="G265">
        <f t="shared" si="64"/>
        <v>0.13595351052529481</v>
      </c>
      <c r="H265" s="21">
        <v>1.08431501500732E-3</v>
      </c>
      <c r="I265">
        <f t="shared" si="58"/>
        <v>3.4547158759327269E-2</v>
      </c>
      <c r="J265" s="22">
        <f t="shared" si="65"/>
        <v>1.08431501500732E-3</v>
      </c>
      <c r="K265">
        <f t="shared" si="66"/>
        <v>3.3957218766760056E-2</v>
      </c>
      <c r="L265">
        <v>8.0914290970839353E-3</v>
      </c>
      <c r="M265">
        <f t="shared" si="59"/>
        <v>3.3957218766760056E-2</v>
      </c>
      <c r="N265">
        <f t="shared" si="67"/>
        <v>1.08431501500732E-3</v>
      </c>
      <c r="O265">
        <v>2.71467880965791E-12</v>
      </c>
      <c r="P265">
        <v>1.0843150122926413E-3</v>
      </c>
      <c r="Q265">
        <v>0.99891568498499272</v>
      </c>
      <c r="R265">
        <f t="shared" si="60"/>
        <v>1</v>
      </c>
      <c r="S265">
        <f t="shared" si="61"/>
        <v>200</v>
      </c>
      <c r="T265">
        <v>1.1385307629072734</v>
      </c>
      <c r="U265">
        <f t="shared" si="68"/>
        <v>201.15854092115458</v>
      </c>
      <c r="V265">
        <f t="shared" si="62"/>
        <v>5.4215750750366001E-4</v>
      </c>
      <c r="W265">
        <f t="shared" si="69"/>
        <v>5.5168615439486757E-4</v>
      </c>
    </row>
    <row r="266" spans="1:23">
      <c r="A266" s="2">
        <v>263</v>
      </c>
      <c r="B266" s="2">
        <v>86.916666699999993</v>
      </c>
      <c r="C266">
        <f t="shared" si="56"/>
        <v>0.47049751470096152</v>
      </c>
      <c r="D266" s="21">
        <v>2.3453469602416602E-12</v>
      </c>
      <c r="E266">
        <f t="shared" si="57"/>
        <v>0.14624029582311712</v>
      </c>
      <c r="F266" s="22">
        <f t="shared" si="63"/>
        <v>2.3453469602416602E-12</v>
      </c>
      <c r="G266">
        <f t="shared" si="64"/>
        <v>0.13604992535481253</v>
      </c>
      <c r="H266" s="21">
        <v>1.0474808780530499E-3</v>
      </c>
      <c r="I266">
        <f t="shared" si="58"/>
        <v>3.4560347244936417E-2</v>
      </c>
      <c r="J266" s="22">
        <f t="shared" si="65"/>
        <v>1.0474808780530499E-3</v>
      </c>
      <c r="K266">
        <f t="shared" si="66"/>
        <v>3.3969959324063659E-2</v>
      </c>
      <c r="L266">
        <v>8.0914290970839353E-3</v>
      </c>
      <c r="M266">
        <f t="shared" si="59"/>
        <v>3.3969959324063659E-2</v>
      </c>
      <c r="N266">
        <f t="shared" si="67"/>
        <v>1.0474808780530499E-3</v>
      </c>
      <c r="O266">
        <v>2.3453469602416602E-12</v>
      </c>
      <c r="P266">
        <v>1.0474808757077029E-3</v>
      </c>
      <c r="Q266">
        <v>0.99895251912194694</v>
      </c>
      <c r="R266">
        <f t="shared" si="60"/>
        <v>1</v>
      </c>
      <c r="S266">
        <f t="shared" si="61"/>
        <v>200</v>
      </c>
      <c r="T266">
        <v>1.099854919493088</v>
      </c>
      <c r="U266">
        <f t="shared" si="68"/>
        <v>201.11919284120017</v>
      </c>
      <c r="V266">
        <f t="shared" si="62"/>
        <v>5.2374043902652496E-4</v>
      </c>
      <c r="W266">
        <f t="shared" si="69"/>
        <v>5.3294897326509254E-4</v>
      </c>
    </row>
    <row r="267" spans="1:23">
      <c r="A267" s="2">
        <v>264</v>
      </c>
      <c r="B267" s="2">
        <v>87</v>
      </c>
      <c r="C267">
        <f t="shared" si="56"/>
        <v>0.46915063075606994</v>
      </c>
      <c r="D267" s="21">
        <v>2.0260372683609298E-12</v>
      </c>
      <c r="E267">
        <f t="shared" si="57"/>
        <v>0.14635154771056116</v>
      </c>
      <c r="F267" s="22">
        <f t="shared" si="63"/>
        <v>2.0260372683609298E-12</v>
      </c>
      <c r="G267">
        <f t="shared" si="64"/>
        <v>0.13614603608492504</v>
      </c>
      <c r="H267" s="21">
        <v>1.0118846955957E-3</v>
      </c>
      <c r="I267">
        <f t="shared" si="58"/>
        <v>3.4573490590033527E-2</v>
      </c>
      <c r="J267" s="22">
        <f t="shared" si="65"/>
        <v>1.0118846955957E-3</v>
      </c>
      <c r="K267">
        <f t="shared" si="66"/>
        <v>3.3982656106823161E-2</v>
      </c>
      <c r="L267">
        <v>9.1460420288518307E-3</v>
      </c>
      <c r="M267">
        <f t="shared" si="59"/>
        <v>3.3982656106823161E-2</v>
      </c>
      <c r="N267">
        <f t="shared" si="67"/>
        <v>1.0118846955957E-3</v>
      </c>
      <c r="O267">
        <v>2.0260372683609298E-12</v>
      </c>
      <c r="P267">
        <v>1.0118846935696626E-3</v>
      </c>
      <c r="Q267">
        <v>0.99898811530440434</v>
      </c>
      <c r="R267">
        <f t="shared" si="60"/>
        <v>1</v>
      </c>
      <c r="S267">
        <f t="shared" si="61"/>
        <v>200</v>
      </c>
      <c r="T267">
        <v>1.0624789282481457</v>
      </c>
      <c r="U267">
        <f t="shared" si="68"/>
        <v>201.08116692387063</v>
      </c>
      <c r="V267">
        <f t="shared" si="62"/>
        <v>5.0594234779784998E-4</v>
      </c>
      <c r="W267">
        <f t="shared" si="69"/>
        <v>5.1484139341218742E-4</v>
      </c>
    </row>
    <row r="268" spans="1:23">
      <c r="A268" s="2">
        <v>265</v>
      </c>
      <c r="B268" s="2">
        <v>87.083333300000007</v>
      </c>
      <c r="C268">
        <f t="shared" si="56"/>
        <v>0.4678076025092518</v>
      </c>
      <c r="D268" s="21">
        <v>1.75000621325486E-12</v>
      </c>
      <c r="E268">
        <f t="shared" si="57"/>
        <v>0.14646246234171781</v>
      </c>
      <c r="F268" s="22">
        <f t="shared" si="63"/>
        <v>1.75000621325486E-12</v>
      </c>
      <c r="G268">
        <f t="shared" si="64"/>
        <v>0.13624184481531265</v>
      </c>
      <c r="H268" s="21">
        <v>9.7748536226075194E-4</v>
      </c>
      <c r="I268">
        <f t="shared" si="58"/>
        <v>3.4586589119588632E-2</v>
      </c>
      <c r="J268" s="22">
        <f t="shared" si="65"/>
        <v>9.7748536226075194E-4</v>
      </c>
      <c r="K268">
        <f t="shared" si="66"/>
        <v>3.3995309430682741E-2</v>
      </c>
      <c r="L268">
        <v>9.1460420288518307E-3</v>
      </c>
      <c r="M268">
        <f t="shared" si="59"/>
        <v>3.3995309430682741E-2</v>
      </c>
      <c r="N268">
        <f t="shared" si="67"/>
        <v>9.7748536226075194E-4</v>
      </c>
      <c r="O268">
        <v>1.75000621325486E-12</v>
      </c>
      <c r="P268">
        <v>9.7748536051074576E-4</v>
      </c>
      <c r="Q268">
        <v>0.99902251463773928</v>
      </c>
      <c r="R268">
        <f t="shared" si="60"/>
        <v>1</v>
      </c>
      <c r="S268">
        <f t="shared" si="61"/>
        <v>200</v>
      </c>
      <c r="T268">
        <v>1.026359628536283</v>
      </c>
      <c r="U268">
        <f t="shared" si="68"/>
        <v>201.04441927839221</v>
      </c>
      <c r="V268">
        <f t="shared" si="62"/>
        <v>4.8874268113037597E-4</v>
      </c>
      <c r="W268">
        <f t="shared" si="69"/>
        <v>4.9734251446411303E-4</v>
      </c>
    </row>
    <row r="269" spans="1:23">
      <c r="A269" s="2">
        <v>266</v>
      </c>
      <c r="B269" s="2">
        <v>87.166666699999993</v>
      </c>
      <c r="C269">
        <f t="shared" si="56"/>
        <v>0.46646841892287649</v>
      </c>
      <c r="D269" s="21">
        <v>1.5114149973153201E-12</v>
      </c>
      <c r="E269">
        <f t="shared" si="57"/>
        <v>0.14657304200826024</v>
      </c>
      <c r="F269" s="22">
        <f t="shared" si="63"/>
        <v>1.5114149973153201E-12</v>
      </c>
      <c r="G269">
        <f t="shared" si="64"/>
        <v>0.13633735362332289</v>
      </c>
      <c r="H269" s="21">
        <v>9.4424311864321905E-4</v>
      </c>
      <c r="I269">
        <f t="shared" si="58"/>
        <v>3.4599643154951683E-2</v>
      </c>
      <c r="J269" s="22">
        <f t="shared" si="65"/>
        <v>9.4424311864321905E-4</v>
      </c>
      <c r="K269">
        <f t="shared" si="66"/>
        <v>3.4007919607767279E-2</v>
      </c>
      <c r="L269">
        <v>9.1460420288518307E-3</v>
      </c>
      <c r="M269">
        <f t="shared" si="59"/>
        <v>3.4007919607767279E-2</v>
      </c>
      <c r="N269">
        <f t="shared" si="67"/>
        <v>9.4424311864321905E-4</v>
      </c>
      <c r="O269">
        <v>1.5114149973153201E-12</v>
      </c>
      <c r="P269">
        <v>9.4424311713180403E-4</v>
      </c>
      <c r="Q269">
        <v>0.99905575688135673</v>
      </c>
      <c r="R269">
        <f t="shared" si="60"/>
        <v>1</v>
      </c>
      <c r="S269">
        <f t="shared" si="61"/>
        <v>200</v>
      </c>
      <c r="T269">
        <v>0.9914552729883942</v>
      </c>
      <c r="U269">
        <f t="shared" si="68"/>
        <v>201.00890745076234</v>
      </c>
      <c r="V269">
        <f t="shared" si="62"/>
        <v>4.7212155932160952E-4</v>
      </c>
      <c r="W269">
        <f t="shared" si="69"/>
        <v>4.8043212022599272E-4</v>
      </c>
    </row>
    <row r="270" spans="1:23">
      <c r="A270" s="2">
        <v>267</v>
      </c>
      <c r="B270" s="2">
        <v>87.25</v>
      </c>
      <c r="C270">
        <f t="shared" si="56"/>
        <v>0.46513306899091028</v>
      </c>
      <c r="D270" s="21">
        <v>1.3052087731106401E-12</v>
      </c>
      <c r="E270">
        <f t="shared" si="57"/>
        <v>0.14668328897776395</v>
      </c>
      <c r="F270" s="22">
        <f t="shared" si="63"/>
        <v>1.3052087731106401E-12</v>
      </c>
      <c r="G270">
        <f t="shared" si="64"/>
        <v>0.13643256456430419</v>
      </c>
      <c r="H270" s="21">
        <v>9.12119507950773E-4</v>
      </c>
      <c r="I270">
        <f t="shared" si="58"/>
        <v>3.4612653014016434E-2</v>
      </c>
      <c r="J270" s="22">
        <f t="shared" si="65"/>
        <v>9.12119507950773E-4</v>
      </c>
      <c r="K270">
        <f t="shared" si="66"/>
        <v>3.4020486946841011E-2</v>
      </c>
      <c r="L270">
        <v>9.1460420288518307E-3</v>
      </c>
      <c r="M270">
        <f t="shared" si="59"/>
        <v>3.4020486946841011E-2</v>
      </c>
      <c r="N270">
        <f t="shared" si="67"/>
        <v>9.12119507950773E-4</v>
      </c>
      <c r="O270">
        <v>1.3052087731106401E-12</v>
      </c>
      <c r="P270">
        <v>9.1211950664556423E-4</v>
      </c>
      <c r="Q270">
        <v>0.99908788049204922</v>
      </c>
      <c r="R270">
        <f t="shared" si="60"/>
        <v>1</v>
      </c>
      <c r="S270">
        <f t="shared" si="61"/>
        <v>200</v>
      </c>
      <c r="T270">
        <v>0.95772548197784246</v>
      </c>
      <c r="U270">
        <f t="shared" si="68"/>
        <v>200.97459037748311</v>
      </c>
      <c r="V270">
        <f t="shared" si="62"/>
        <v>4.560597539753865E-4</v>
      </c>
      <c r="W270">
        <f t="shared" si="69"/>
        <v>4.6409065664849801E-4</v>
      </c>
    </row>
    <row r="271" spans="1:23">
      <c r="A271" s="2">
        <v>268</v>
      </c>
      <c r="B271" s="2">
        <v>87.333333300000007</v>
      </c>
      <c r="C271">
        <f t="shared" si="56"/>
        <v>0.46380154173882654</v>
      </c>
      <c r="D271" s="21">
        <v>1.12701190887226E-12</v>
      </c>
      <c r="E271">
        <f t="shared" si="57"/>
        <v>0.14679320549396513</v>
      </c>
      <c r="F271" s="22">
        <f t="shared" si="63"/>
        <v>1.12701190887226E-12</v>
      </c>
      <c r="G271">
        <f t="shared" si="64"/>
        <v>0.13652747967184753</v>
      </c>
      <c r="H271" s="21">
        <v>8.8107733401627305E-4</v>
      </c>
      <c r="I271">
        <f t="shared" si="58"/>
        <v>3.4625619011208898E-2</v>
      </c>
      <c r="J271" s="22">
        <f t="shared" si="65"/>
        <v>8.8107733401627305E-4</v>
      </c>
      <c r="K271">
        <f t="shared" si="66"/>
        <v>3.403301175329676E-2</v>
      </c>
      <c r="L271">
        <v>9.1460420288518307E-3</v>
      </c>
      <c r="M271">
        <f t="shared" si="59"/>
        <v>3.403301175329676E-2</v>
      </c>
      <c r="N271">
        <f t="shared" si="67"/>
        <v>8.8107733401627305E-4</v>
      </c>
      <c r="O271">
        <v>1.12701190887226E-12</v>
      </c>
      <c r="P271">
        <v>8.8107733288926115E-4</v>
      </c>
      <c r="Q271">
        <v>0.99911892266598368</v>
      </c>
      <c r="R271">
        <f t="shared" si="60"/>
        <v>1</v>
      </c>
      <c r="S271">
        <f t="shared" si="61"/>
        <v>200</v>
      </c>
      <c r="T271">
        <v>0.92513119953372425</v>
      </c>
      <c r="U271">
        <f t="shared" si="68"/>
        <v>200.94142834075578</v>
      </c>
      <c r="V271">
        <f t="shared" si="62"/>
        <v>4.4053866700813652E-4</v>
      </c>
      <c r="W271">
        <f t="shared" si="69"/>
        <v>4.4829921049176148E-4</v>
      </c>
    </row>
    <row r="272" spans="1:23">
      <c r="A272" s="2">
        <v>269</v>
      </c>
      <c r="B272" s="2">
        <v>87.416666699999993</v>
      </c>
      <c r="C272">
        <f t="shared" si="56"/>
        <v>0.46247382622351507</v>
      </c>
      <c r="D272" s="21">
        <v>9.7303717407726008E-13</v>
      </c>
      <c r="E272">
        <f t="shared" si="57"/>
        <v>0.14690279377717791</v>
      </c>
      <c r="F272" s="22">
        <f t="shared" si="63"/>
        <v>9.7303717407726008E-13</v>
      </c>
      <c r="G272">
        <f t="shared" si="64"/>
        <v>0.13662210095816485</v>
      </c>
      <c r="H272" s="21">
        <v>8.5108062063742604E-4</v>
      </c>
      <c r="I272">
        <f t="shared" si="58"/>
        <v>3.4638541457543567E-2</v>
      </c>
      <c r="J272" s="22">
        <f t="shared" si="65"/>
        <v>8.5108062063742604E-4</v>
      </c>
      <c r="K272">
        <f t="shared" si="66"/>
        <v>3.4045494329210557E-2</v>
      </c>
      <c r="L272">
        <v>9.1460420288518307E-3</v>
      </c>
      <c r="M272">
        <f t="shared" si="59"/>
        <v>3.4045494329210557E-2</v>
      </c>
      <c r="N272">
        <f t="shared" si="67"/>
        <v>8.5108062063742604E-4</v>
      </c>
      <c r="O272">
        <v>9.7303717407726008E-13</v>
      </c>
      <c r="P272">
        <v>8.5108061966438886E-4</v>
      </c>
      <c r="Q272">
        <v>0.99914891937936257</v>
      </c>
      <c r="R272">
        <f t="shared" si="60"/>
        <v>1</v>
      </c>
      <c r="S272">
        <f t="shared" si="61"/>
        <v>200</v>
      </c>
      <c r="T272">
        <v>0.89363465064760828</v>
      </c>
      <c r="U272">
        <f t="shared" si="68"/>
        <v>200.90938292509068</v>
      </c>
      <c r="V272">
        <f t="shared" si="62"/>
        <v>4.2554031031871302E-4</v>
      </c>
      <c r="W272">
        <f t="shared" si="69"/>
        <v>4.330394886634248E-4</v>
      </c>
    </row>
    <row r="273" spans="1:23">
      <c r="A273" s="2">
        <v>270</v>
      </c>
      <c r="B273" s="2">
        <v>87.5</v>
      </c>
      <c r="C273">
        <f t="shared" si="56"/>
        <v>0.46114991153319207</v>
      </c>
      <c r="D273" s="21">
        <v>8.4000700497694204E-13</v>
      </c>
      <c r="E273">
        <f t="shared" si="57"/>
        <v>0.1470120560245862</v>
      </c>
      <c r="F273" s="22">
        <f t="shared" si="63"/>
        <v>8.4000700497694204E-13</v>
      </c>
      <c r="G273">
        <f t="shared" si="64"/>
        <v>0.13671643041435877</v>
      </c>
      <c r="H273" s="21">
        <v>8.2209457220263E-4</v>
      </c>
      <c r="I273">
        <f t="shared" si="58"/>
        <v>3.4651420660690373E-2</v>
      </c>
      <c r="J273" s="22">
        <f t="shared" si="65"/>
        <v>8.2209457220263E-4</v>
      </c>
      <c r="K273">
        <f t="shared" si="66"/>
        <v>3.4057934973406701E-2</v>
      </c>
      <c r="L273">
        <v>9.1460420288518307E-3</v>
      </c>
      <c r="M273">
        <f t="shared" si="59"/>
        <v>3.4057934973406701E-2</v>
      </c>
      <c r="N273">
        <f t="shared" si="67"/>
        <v>8.2209457220263E-4</v>
      </c>
      <c r="O273">
        <v>8.4000700497694204E-13</v>
      </c>
      <c r="P273">
        <v>8.2209457136262301E-4</v>
      </c>
      <c r="Q273">
        <v>0.99917790542779739</v>
      </c>
      <c r="R273">
        <f t="shared" si="60"/>
        <v>1</v>
      </c>
      <c r="S273">
        <f t="shared" si="61"/>
        <v>200</v>
      </c>
      <c r="T273">
        <v>0.86319929993075417</v>
      </c>
      <c r="U273">
        <f t="shared" si="68"/>
        <v>200.87841697528918</v>
      </c>
      <c r="V273">
        <f t="shared" si="62"/>
        <v>4.11047286101315E-4</v>
      </c>
      <c r="W273">
        <f t="shared" si="69"/>
        <v>4.1829379821001401E-4</v>
      </c>
    </row>
    <row r="274" spans="1:23">
      <c r="A274" s="2">
        <v>271</v>
      </c>
      <c r="B274" s="2">
        <v>87.583333300000007</v>
      </c>
      <c r="C274">
        <f t="shared" si="56"/>
        <v>0.45982978678731107</v>
      </c>
      <c r="D274" s="21">
        <v>7.2508525181373695E-13</v>
      </c>
      <c r="E274">
        <f t="shared" si="57"/>
        <v>0.14712099441058496</v>
      </c>
      <c r="F274" s="22">
        <f t="shared" si="63"/>
        <v>7.2508525181373695E-13</v>
      </c>
      <c r="G274">
        <f t="shared" si="64"/>
        <v>0.13681047001073476</v>
      </c>
      <c r="H274" s="21">
        <v>7.9408553556331205E-4</v>
      </c>
      <c r="I274">
        <f t="shared" si="58"/>
        <v>3.466425692501298E-2</v>
      </c>
      <c r="J274" s="22">
        <f t="shared" si="65"/>
        <v>7.9408553556331205E-4</v>
      </c>
      <c r="K274">
        <f t="shared" si="66"/>
        <v>3.407033398149506E-2</v>
      </c>
      <c r="L274">
        <v>9.1460420288518307E-3</v>
      </c>
      <c r="M274">
        <f t="shared" si="59"/>
        <v>3.407033398149506E-2</v>
      </c>
      <c r="N274">
        <f t="shared" si="67"/>
        <v>7.9408553556331205E-4</v>
      </c>
      <c r="O274">
        <v>7.2508525181373695E-13</v>
      </c>
      <c r="P274">
        <v>7.940855348382268E-4</v>
      </c>
      <c r="Q274">
        <v>0.99920591446443674</v>
      </c>
      <c r="R274">
        <f t="shared" si="60"/>
        <v>1</v>
      </c>
      <c r="S274">
        <f t="shared" si="61"/>
        <v>200</v>
      </c>
      <c r="T274">
        <v>0.8337898115801381</v>
      </c>
      <c r="U274">
        <f t="shared" si="68"/>
        <v>200.84849455575542</v>
      </c>
      <c r="V274">
        <f t="shared" si="62"/>
        <v>3.9704276778165603E-4</v>
      </c>
      <c r="W274">
        <f t="shared" si="69"/>
        <v>4.0404502694148551E-4</v>
      </c>
    </row>
    <row r="275" spans="1:23">
      <c r="A275" s="2">
        <v>272</v>
      </c>
      <c r="B275" s="2">
        <v>87.666666699999993</v>
      </c>
      <c r="C275">
        <f t="shared" si="56"/>
        <v>0.45851344113647291</v>
      </c>
      <c r="D275" s="21">
        <v>6.2581801975013701E-13</v>
      </c>
      <c r="E275">
        <f t="shared" si="57"/>
        <v>0.14722961108709789</v>
      </c>
      <c r="F275" s="22">
        <f t="shared" si="63"/>
        <v>6.2581801975013701E-13</v>
      </c>
      <c r="G275">
        <f t="shared" si="64"/>
        <v>0.13690422169709249</v>
      </c>
      <c r="H275" s="21">
        <v>7.6702096311422399E-4</v>
      </c>
      <c r="I275">
        <f t="shared" si="58"/>
        <v>3.4677050551617031E-2</v>
      </c>
      <c r="J275" s="22">
        <f t="shared" si="65"/>
        <v>7.6702096311422399E-4</v>
      </c>
      <c r="K275">
        <f t="shared" si="66"/>
        <v>3.408269164591804E-2</v>
      </c>
      <c r="L275">
        <v>9.1460420288518307E-3</v>
      </c>
      <c r="M275">
        <f t="shared" si="59"/>
        <v>3.408269164591804E-2</v>
      </c>
      <c r="N275">
        <f t="shared" si="67"/>
        <v>7.6702096311422399E-4</v>
      </c>
      <c r="O275">
        <v>6.2581801975013701E-13</v>
      </c>
      <c r="P275">
        <v>7.6702096248840602E-4</v>
      </c>
      <c r="Q275">
        <v>0.99923297903688579</v>
      </c>
      <c r="R275">
        <f t="shared" si="60"/>
        <v>1</v>
      </c>
      <c r="S275">
        <f t="shared" si="61"/>
        <v>200</v>
      </c>
      <c r="T275">
        <v>0.80537201061282637</v>
      </c>
      <c r="U275">
        <f t="shared" si="68"/>
        <v>200.81958091109647</v>
      </c>
      <c r="V275">
        <f t="shared" si="62"/>
        <v>3.83510481557112E-4</v>
      </c>
      <c r="W275">
        <f t="shared" si="69"/>
        <v>3.9027662466938398E-4</v>
      </c>
    </row>
    <row r="276" spans="1:23">
      <c r="A276" s="2">
        <v>273</v>
      </c>
      <c r="B276" s="2">
        <v>87.75</v>
      </c>
      <c r="C276">
        <f t="shared" si="56"/>
        <v>0.45720086376233687</v>
      </c>
      <c r="D276" s="21">
        <v>5.4008239830924498E-13</v>
      </c>
      <c r="E276">
        <f t="shared" si="57"/>
        <v>0.14733790818387224</v>
      </c>
      <c r="F276" s="22">
        <f t="shared" si="63"/>
        <v>5.4008239830924498E-13</v>
      </c>
      <c r="G276">
        <f t="shared" si="64"/>
        <v>0.13699768740299723</v>
      </c>
      <c r="H276" s="21">
        <v>7.4086937704432698E-4</v>
      </c>
      <c r="I276">
        <f t="shared" si="58"/>
        <v>3.4689801838390884E-2</v>
      </c>
      <c r="J276" s="22">
        <f t="shared" si="65"/>
        <v>7.4086937704432698E-4</v>
      </c>
      <c r="K276">
        <f t="shared" si="66"/>
        <v>3.4095008255990211E-2</v>
      </c>
      <c r="L276">
        <v>9.1460420288518307E-3</v>
      </c>
      <c r="M276">
        <f t="shared" si="59"/>
        <v>3.4095008255990211E-2</v>
      </c>
      <c r="N276">
        <f t="shared" si="67"/>
        <v>7.4086937704432698E-4</v>
      </c>
      <c r="O276">
        <v>5.4008239830924498E-13</v>
      </c>
      <c r="P276">
        <v>7.4086937650424457E-4</v>
      </c>
      <c r="Q276">
        <v>0.99925913062295568</v>
      </c>
      <c r="R276">
        <f t="shared" si="60"/>
        <v>1</v>
      </c>
      <c r="S276">
        <f t="shared" si="61"/>
        <v>200</v>
      </c>
      <c r="T276">
        <v>0.77791284532945681</v>
      </c>
      <c r="U276">
        <f t="shared" si="68"/>
        <v>200.79164242797114</v>
      </c>
      <c r="V276">
        <f t="shared" si="62"/>
        <v>3.7043468852216349E-4</v>
      </c>
      <c r="W276">
        <f t="shared" si="69"/>
        <v>3.7697258503963777E-4</v>
      </c>
    </row>
    <row r="277" spans="1:23">
      <c r="A277" s="2">
        <v>274</v>
      </c>
      <c r="B277" s="2">
        <v>87.833333300000007</v>
      </c>
      <c r="C277">
        <f t="shared" si="56"/>
        <v>0.45589204387753174</v>
      </c>
      <c r="D277" s="21">
        <v>4.66042032972854E-13</v>
      </c>
      <c r="E277">
        <f t="shared" si="57"/>
        <v>0.1474458878088204</v>
      </c>
      <c r="F277" s="22">
        <f t="shared" si="63"/>
        <v>4.66042032972854E-13</v>
      </c>
      <c r="G277">
        <f t="shared" si="64"/>
        <v>0.13709086903809131</v>
      </c>
      <c r="H277" s="21">
        <v>7.1560033472199496E-4</v>
      </c>
      <c r="I277">
        <f t="shared" si="58"/>
        <v>3.47025110800726E-2</v>
      </c>
      <c r="J277" s="22">
        <f t="shared" si="65"/>
        <v>7.1560033472199496E-4</v>
      </c>
      <c r="K277">
        <f t="shared" si="66"/>
        <v>3.4107284097963375E-2</v>
      </c>
      <c r="L277">
        <v>9.1460420288518307E-3</v>
      </c>
      <c r="M277">
        <f t="shared" si="59"/>
        <v>3.4107284097963375E-2</v>
      </c>
      <c r="N277">
        <f t="shared" si="67"/>
        <v>7.1560033472199496E-4</v>
      </c>
      <c r="O277">
        <v>4.66042032972854E-13</v>
      </c>
      <c r="P277">
        <v>7.1560033425595293E-4</v>
      </c>
      <c r="Q277">
        <v>0.99928439966527804</v>
      </c>
      <c r="R277">
        <f t="shared" si="60"/>
        <v>1</v>
      </c>
      <c r="S277">
        <f t="shared" si="61"/>
        <v>200</v>
      </c>
      <c r="T277">
        <v>0.75138035096875055</v>
      </c>
      <c r="U277">
        <f t="shared" si="68"/>
        <v>200.76464659814911</v>
      </c>
      <c r="V277">
        <f t="shared" si="62"/>
        <v>3.5780016736099748E-4</v>
      </c>
      <c r="W277">
        <f t="shared" si="69"/>
        <v>3.6411742794158046E-4</v>
      </c>
    </row>
    <row r="278" spans="1:23">
      <c r="A278" s="2">
        <v>275</v>
      </c>
      <c r="B278" s="2">
        <v>87.916666699999993</v>
      </c>
      <c r="C278">
        <f t="shared" si="56"/>
        <v>0.45458697072556675</v>
      </c>
      <c r="D278" s="21">
        <v>4.02108630613803E-13</v>
      </c>
      <c r="E278">
        <f t="shared" si="57"/>
        <v>0.14755355204829484</v>
      </c>
      <c r="F278" s="22">
        <f t="shared" si="63"/>
        <v>4.02108630613803E-13</v>
      </c>
      <c r="G278">
        <f t="shared" si="64"/>
        <v>0.13718376849234759</v>
      </c>
      <c r="H278" s="21">
        <v>6.9118439517941801E-4</v>
      </c>
      <c r="I278">
        <f t="shared" si="58"/>
        <v>3.4715178568258828E-2</v>
      </c>
      <c r="J278" s="22">
        <f t="shared" si="65"/>
        <v>6.9118439517941801E-4</v>
      </c>
      <c r="K278">
        <f t="shared" si="66"/>
        <v>3.4119519455035441E-2</v>
      </c>
      <c r="L278">
        <v>9.1460420288518307E-3</v>
      </c>
      <c r="M278">
        <f t="shared" si="59"/>
        <v>3.4119519455035441E-2</v>
      </c>
      <c r="N278">
        <f t="shared" si="67"/>
        <v>6.9118439517941801E-4</v>
      </c>
      <c r="O278">
        <v>4.02108630613803E-13</v>
      </c>
      <c r="P278">
        <v>6.9118439477730944E-4</v>
      </c>
      <c r="Q278">
        <v>0.99930881560482054</v>
      </c>
      <c r="R278">
        <f t="shared" si="60"/>
        <v>1</v>
      </c>
      <c r="S278">
        <f t="shared" si="61"/>
        <v>200</v>
      </c>
      <c r="T278">
        <v>0.72574361451617486</v>
      </c>
      <c r="U278">
        <f t="shared" si="68"/>
        <v>200.73856198274248</v>
      </c>
      <c r="V278">
        <f t="shared" si="62"/>
        <v>3.4559219758970901E-4</v>
      </c>
      <c r="W278">
        <f t="shared" si="69"/>
        <v>3.5169618247535327E-4</v>
      </c>
    </row>
    <row r="279" spans="1:23">
      <c r="A279" s="2">
        <v>276</v>
      </c>
      <c r="B279" s="2">
        <v>88</v>
      </c>
      <c r="C279">
        <f t="shared" si="56"/>
        <v>0.45328563358074397</v>
      </c>
      <c r="D279" s="21">
        <v>3.4690861036573598E-13</v>
      </c>
      <c r="E279">
        <f t="shared" si="57"/>
        <v>0.14766090296740814</v>
      </c>
      <c r="F279" s="22">
        <f t="shared" si="63"/>
        <v>3.4690861036573598E-13</v>
      </c>
      <c r="G279">
        <f t="shared" si="64"/>
        <v>0.13727638763636174</v>
      </c>
      <c r="H279" s="21">
        <v>6.6759308666204003E-4</v>
      </c>
      <c r="I279">
        <f t="shared" si="58"/>
        <v>3.4727804591494361E-2</v>
      </c>
      <c r="J279" s="22">
        <f t="shared" si="65"/>
        <v>6.6759308666204003E-4</v>
      </c>
      <c r="K279">
        <f t="shared" si="66"/>
        <v>3.4131714607437247E-2</v>
      </c>
      <c r="L279">
        <v>1.0424290461765739E-2</v>
      </c>
      <c r="M279">
        <f t="shared" si="59"/>
        <v>3.4131714607437247E-2</v>
      </c>
      <c r="N279">
        <f t="shared" si="67"/>
        <v>6.6759308666204003E-4</v>
      </c>
      <c r="O279">
        <v>3.4690861036573598E-13</v>
      </c>
      <c r="P279">
        <v>6.6759308631513144E-4</v>
      </c>
      <c r="Q279">
        <v>0.99933240691333791</v>
      </c>
      <c r="R279">
        <f t="shared" si="60"/>
        <v>1</v>
      </c>
      <c r="S279">
        <f t="shared" si="61"/>
        <v>200</v>
      </c>
      <c r="T279">
        <v>0.70097274063088799</v>
      </c>
      <c r="U279">
        <f t="shared" si="68"/>
        <v>200.7133581775735</v>
      </c>
      <c r="V279">
        <f t="shared" si="62"/>
        <v>3.3379654333102001E-4</v>
      </c>
      <c r="W279">
        <f t="shared" si="69"/>
        <v>3.3969437046036451E-4</v>
      </c>
    </row>
    <row r="280" spans="1:23">
      <c r="A280" s="2">
        <v>277</v>
      </c>
      <c r="B280" s="2">
        <v>88.083333300000007</v>
      </c>
      <c r="C280">
        <f t="shared" si="56"/>
        <v>0.45198802174806951</v>
      </c>
      <c r="D280" s="21">
        <v>2.9925421571598201E-13</v>
      </c>
      <c r="E280">
        <f t="shared" si="57"/>
        <v>0.1477679426102998</v>
      </c>
      <c r="F280" s="22">
        <f t="shared" si="63"/>
        <v>2.9925421571598201E-13</v>
      </c>
      <c r="G280">
        <f t="shared" si="64"/>
        <v>0.13736872832159819</v>
      </c>
      <c r="H280" s="21">
        <v>6.4479887521001896E-4</v>
      </c>
      <c r="I280">
        <f t="shared" si="58"/>
        <v>3.4740389435272634E-2</v>
      </c>
      <c r="J280" s="22">
        <f t="shared" si="65"/>
        <v>6.4479887521001896E-4</v>
      </c>
      <c r="K280">
        <f t="shared" si="66"/>
        <v>3.4143869832433338E-2</v>
      </c>
      <c r="L280">
        <v>1.0424290461765739E-2</v>
      </c>
      <c r="M280">
        <f t="shared" si="59"/>
        <v>3.4143869832433338E-2</v>
      </c>
      <c r="N280">
        <f t="shared" si="67"/>
        <v>6.4479887521001896E-4</v>
      </c>
      <c r="O280">
        <v>2.9925421571598201E-13</v>
      </c>
      <c r="P280">
        <v>6.4479887491076474E-4</v>
      </c>
      <c r="Q280">
        <v>0.99935520112478993</v>
      </c>
      <c r="R280">
        <f t="shared" si="60"/>
        <v>1</v>
      </c>
      <c r="S280">
        <f t="shared" si="61"/>
        <v>200</v>
      </c>
      <c r="T280">
        <v>0.677038818656303</v>
      </c>
      <c r="U280">
        <f t="shared" si="68"/>
        <v>200.68900577964362</v>
      </c>
      <c r="V280">
        <f t="shared" si="62"/>
        <v>3.2239943760500948E-4</v>
      </c>
      <c r="W280">
        <f t="shared" si="69"/>
        <v>3.2809799046801475E-4</v>
      </c>
    </row>
    <row r="281" spans="1:23">
      <c r="A281" s="2">
        <v>278</v>
      </c>
      <c r="B281" s="2">
        <v>88.166666699999993</v>
      </c>
      <c r="C281">
        <f t="shared" si="56"/>
        <v>0.45069412456316571</v>
      </c>
      <c r="D281" s="21">
        <v>2.5811849410040399E-13</v>
      </c>
      <c r="E281">
        <f t="shared" si="57"/>
        <v>0.14787467300045501</v>
      </c>
      <c r="F281" s="22">
        <f t="shared" si="63"/>
        <v>2.5811849410040399E-13</v>
      </c>
      <c r="G281">
        <f t="shared" si="64"/>
        <v>0.13746079238068065</v>
      </c>
      <c r="H281" s="21">
        <v>6.2277513423957703E-4</v>
      </c>
      <c r="I281">
        <f t="shared" si="58"/>
        <v>3.4752933382108178E-2</v>
      </c>
      <c r="J281" s="22">
        <f t="shared" si="65"/>
        <v>6.2277513423957703E-4</v>
      </c>
      <c r="K281">
        <f t="shared" si="66"/>
        <v>3.4155985404392242E-2</v>
      </c>
      <c r="L281">
        <v>1.0424290461765739E-2</v>
      </c>
      <c r="M281">
        <f t="shared" si="59"/>
        <v>3.4155985404392242E-2</v>
      </c>
      <c r="N281">
        <f t="shared" si="67"/>
        <v>6.2277513423957703E-4</v>
      </c>
      <c r="O281">
        <v>2.5811849410040399E-13</v>
      </c>
      <c r="P281">
        <v>6.2277513398145852E-4</v>
      </c>
      <c r="Q281">
        <v>0.99937722486576042</v>
      </c>
      <c r="R281">
        <f t="shared" si="60"/>
        <v>1</v>
      </c>
      <c r="S281">
        <f t="shared" si="61"/>
        <v>200</v>
      </c>
      <c r="T281">
        <v>0.65391389068053141</v>
      </c>
      <c r="U281">
        <f t="shared" si="68"/>
        <v>200.66547635466841</v>
      </c>
      <c r="V281">
        <f t="shared" si="62"/>
        <v>3.1138756711978851E-4</v>
      </c>
      <c r="W281">
        <f t="shared" si="69"/>
        <v>3.1689350236239902E-4</v>
      </c>
    </row>
    <row r="282" spans="1:23">
      <c r="A282" s="2">
        <v>279</v>
      </c>
      <c r="B282" s="2">
        <v>88.25</v>
      </c>
      <c r="C282">
        <f t="shared" si="56"/>
        <v>0.44940393139218382</v>
      </c>
      <c r="D282" s="21">
        <v>2.2261362887105799E-13</v>
      </c>
      <c r="E282">
        <f t="shared" si="57"/>
        <v>0.14798109614095939</v>
      </c>
      <c r="F282" s="22">
        <f t="shared" si="63"/>
        <v>2.2261362887105799E-13</v>
      </c>
      <c r="G282">
        <f t="shared" si="64"/>
        <v>0.13755258162762707</v>
      </c>
      <c r="H282" s="21">
        <v>6.0149611509316197E-4</v>
      </c>
      <c r="I282">
        <f t="shared" si="58"/>
        <v>3.4765436711562521E-2</v>
      </c>
      <c r="J282" s="22">
        <f t="shared" si="65"/>
        <v>6.0149611509316197E-4</v>
      </c>
      <c r="K282">
        <f t="shared" si="66"/>
        <v>3.4168061594811783E-2</v>
      </c>
      <c r="L282">
        <v>1.0424290461765739E-2</v>
      </c>
      <c r="M282">
        <f t="shared" si="59"/>
        <v>3.4168061594811783E-2</v>
      </c>
      <c r="N282">
        <f t="shared" si="67"/>
        <v>6.0149611509316197E-4</v>
      </c>
      <c r="O282">
        <v>2.2261362887105799E-13</v>
      </c>
      <c r="P282">
        <v>6.0149611487054838E-4</v>
      </c>
      <c r="Q282">
        <v>0.99939850388490681</v>
      </c>
      <c r="R282">
        <f t="shared" si="60"/>
        <v>1</v>
      </c>
      <c r="S282">
        <f t="shared" si="61"/>
        <v>200</v>
      </c>
      <c r="T282">
        <v>0.63157092061407583</v>
      </c>
      <c r="U282">
        <f t="shared" si="68"/>
        <v>200.64274240564731</v>
      </c>
      <c r="V282">
        <f t="shared" si="62"/>
        <v>3.0074805754658099E-4</v>
      </c>
      <c r="W282">
        <f t="shared" si="69"/>
        <v>3.0606781233318475E-4</v>
      </c>
    </row>
    <row r="283" spans="1:23">
      <c r="A283" s="2">
        <v>280</v>
      </c>
      <c r="B283" s="2">
        <v>88.333333300000007</v>
      </c>
      <c r="C283">
        <f t="shared" si="56"/>
        <v>0.44811743163171658</v>
      </c>
      <c r="D283" s="21">
        <v>1.9197217675417801E-13</v>
      </c>
      <c r="E283">
        <f t="shared" si="57"/>
        <v>0.14808721401479957</v>
      </c>
      <c r="F283" s="22">
        <f t="shared" si="63"/>
        <v>1.9197217675417801E-13</v>
      </c>
      <c r="G283">
        <f t="shared" si="64"/>
        <v>0.13764409785812393</v>
      </c>
      <c r="H283" s="21">
        <v>5.8093691852823199E-4</v>
      </c>
      <c r="I283">
        <f t="shared" si="58"/>
        <v>3.477789970029399E-2</v>
      </c>
      <c r="J283" s="22">
        <f t="shared" si="65"/>
        <v>5.8093691852823199E-4</v>
      </c>
      <c r="K283">
        <f t="shared" si="66"/>
        <v>3.4180098672367487E-2</v>
      </c>
      <c r="L283">
        <v>1.0424290461765739E-2</v>
      </c>
      <c r="M283">
        <f t="shared" si="59"/>
        <v>3.4180098672367487E-2</v>
      </c>
      <c r="N283">
        <f t="shared" si="67"/>
        <v>5.8093691852823199E-4</v>
      </c>
      <c r="O283">
        <v>1.9197217675417801E-13</v>
      </c>
      <c r="P283">
        <v>5.8093691833625979E-4</v>
      </c>
      <c r="Q283">
        <v>0.99941906308147177</v>
      </c>
      <c r="R283">
        <f t="shared" si="60"/>
        <v>1</v>
      </c>
      <c r="S283">
        <f t="shared" si="61"/>
        <v>200</v>
      </c>
      <c r="T283">
        <v>0.60998376425307277</v>
      </c>
      <c r="U283">
        <f t="shared" si="68"/>
        <v>200.62077734243357</v>
      </c>
      <c r="V283">
        <f t="shared" si="62"/>
        <v>2.9046845926411599E-4</v>
      </c>
      <c r="W283">
        <f t="shared" si="69"/>
        <v>2.9560825840534849E-4</v>
      </c>
    </row>
    <row r="284" spans="1:23">
      <c r="A284" s="2">
        <v>281</v>
      </c>
      <c r="B284" s="2">
        <v>88.416666699999993</v>
      </c>
      <c r="C284">
        <f t="shared" si="56"/>
        <v>0.44683461470871011</v>
      </c>
      <c r="D284" s="21">
        <v>1.6553082317132699E-13</v>
      </c>
      <c r="E284">
        <f t="shared" si="57"/>
        <v>0.14819302858511471</v>
      </c>
      <c r="F284" s="22">
        <f t="shared" si="63"/>
        <v>1.6553082317132699E-13</v>
      </c>
      <c r="G284">
        <f t="shared" si="64"/>
        <v>0.13773534284975786</v>
      </c>
      <c r="H284" s="21">
        <v>5.6107346711541497E-4</v>
      </c>
      <c r="I284">
        <f t="shared" si="58"/>
        <v>3.4790322622093556E-2</v>
      </c>
      <c r="J284" s="22">
        <f t="shared" si="65"/>
        <v>5.6107346711541497E-4</v>
      </c>
      <c r="K284">
        <f t="shared" si="66"/>
        <v>3.4192096902947444E-2</v>
      </c>
      <c r="L284">
        <v>1.0424290461765739E-2</v>
      </c>
      <c r="M284">
        <f t="shared" si="59"/>
        <v>3.4192096902947444E-2</v>
      </c>
      <c r="N284">
        <f t="shared" si="67"/>
        <v>5.6107346711541497E-4</v>
      </c>
      <c r="O284">
        <v>1.6553082317132699E-13</v>
      </c>
      <c r="P284">
        <v>5.6107346694988418E-4</v>
      </c>
      <c r="Q284">
        <v>0.99943892653288458</v>
      </c>
      <c r="R284">
        <f t="shared" si="60"/>
        <v>1</v>
      </c>
      <c r="S284">
        <f t="shared" si="61"/>
        <v>200</v>
      </c>
      <c r="T284">
        <v>0.58912714029737834</v>
      </c>
      <c r="U284">
        <f t="shared" si="68"/>
        <v>200.59955545227521</v>
      </c>
      <c r="V284">
        <f t="shared" si="62"/>
        <v>2.8053673355770748E-4</v>
      </c>
      <c r="W284">
        <f t="shared" si="69"/>
        <v>2.8550259641091174E-4</v>
      </c>
    </row>
    <row r="285" spans="1:23">
      <c r="A285" s="2">
        <v>282</v>
      </c>
      <c r="B285" s="2">
        <v>88.5</v>
      </c>
      <c r="C285">
        <f t="shared" si="56"/>
        <v>0.44555547008037888</v>
      </c>
      <c r="D285" s="21">
        <v>1.4271631923814899E-13</v>
      </c>
      <c r="E285">
        <f t="shared" si="57"/>
        <v>0.14829854179546101</v>
      </c>
      <c r="F285" s="22">
        <f t="shared" si="63"/>
        <v>1.4271631923814899E-13</v>
      </c>
      <c r="G285">
        <f t="shared" si="64"/>
        <v>0.13782631836225834</v>
      </c>
      <c r="H285" s="21">
        <v>5.4188247851766705E-4</v>
      </c>
      <c r="I285">
        <f t="shared" si="58"/>
        <v>3.480270574792655E-2</v>
      </c>
      <c r="J285" s="22">
        <f t="shared" si="65"/>
        <v>5.4188247851766705E-4</v>
      </c>
      <c r="K285">
        <f t="shared" si="66"/>
        <v>3.4204056549692941E-2</v>
      </c>
      <c r="L285">
        <v>1.0424290461765739E-2</v>
      </c>
      <c r="M285">
        <f t="shared" si="59"/>
        <v>3.4204056549692941E-2</v>
      </c>
      <c r="N285">
        <f t="shared" si="67"/>
        <v>5.4188247851766705E-4</v>
      </c>
      <c r="O285">
        <v>1.4271631923814899E-13</v>
      </c>
      <c r="P285">
        <v>5.418824783749507E-4</v>
      </c>
      <c r="Q285">
        <v>0.99945811752148228</v>
      </c>
      <c r="R285">
        <f t="shared" si="60"/>
        <v>1</v>
      </c>
      <c r="S285">
        <f t="shared" si="61"/>
        <v>200</v>
      </c>
      <c r="T285">
        <v>0.56897660229369817</v>
      </c>
      <c r="U285">
        <f t="shared" si="68"/>
        <v>200.57905187129552</v>
      </c>
      <c r="V285">
        <f t="shared" si="62"/>
        <v>2.7094123925883352E-4</v>
      </c>
      <c r="W285">
        <f t="shared" si="69"/>
        <v>2.7573898640827048E-4</v>
      </c>
    </row>
    <row r="286" spans="1:23">
      <c r="A286" s="2">
        <v>283</v>
      </c>
      <c r="B286" s="2">
        <v>88.583333300000007</v>
      </c>
      <c r="C286">
        <f t="shared" si="56"/>
        <v>0.4442799872341171</v>
      </c>
      <c r="D286" s="21">
        <v>1.2303330890749101E-13</v>
      </c>
      <c r="E286">
        <f t="shared" si="57"/>
        <v>0.1484037555701424</v>
      </c>
      <c r="F286" s="22">
        <f t="shared" si="63"/>
        <v>1.2303330890749101E-13</v>
      </c>
      <c r="G286">
        <f t="shared" si="64"/>
        <v>0.13791702613779699</v>
      </c>
      <c r="H286" s="21">
        <v>5.2334143962291899E-4</v>
      </c>
      <c r="I286">
        <f t="shared" si="58"/>
        <v>3.4815049345974527E-2</v>
      </c>
      <c r="J286" s="22">
        <f t="shared" si="65"/>
        <v>5.2334143962291899E-4</v>
      </c>
      <c r="K286">
        <f t="shared" si="66"/>
        <v>3.4215977873039094E-2</v>
      </c>
      <c r="L286">
        <v>1.0424290461765739E-2</v>
      </c>
      <c r="M286">
        <f t="shared" si="59"/>
        <v>3.4215977873039094E-2</v>
      </c>
      <c r="N286">
        <f t="shared" si="67"/>
        <v>5.2334143962291899E-4</v>
      </c>
      <c r="O286">
        <v>1.2303330890749101E-13</v>
      </c>
      <c r="P286">
        <v>5.2334143949988568E-4</v>
      </c>
      <c r="Q286">
        <v>0.99947665856037704</v>
      </c>
      <c r="R286">
        <f t="shared" si="60"/>
        <v>1</v>
      </c>
      <c r="S286">
        <f t="shared" si="61"/>
        <v>200</v>
      </c>
      <c r="T286">
        <v>0.54950851147488</v>
      </c>
      <c r="U286">
        <f t="shared" si="68"/>
        <v>200.55924255688427</v>
      </c>
      <c r="V286">
        <f t="shared" si="62"/>
        <v>2.616707198114595E-4</v>
      </c>
      <c r="W286">
        <f t="shared" si="69"/>
        <v>2.6630597953514651E-4</v>
      </c>
    </row>
    <row r="287" spans="1:23">
      <c r="A287" s="2">
        <v>284</v>
      </c>
      <c r="B287" s="2">
        <v>88.666666699999993</v>
      </c>
      <c r="C287">
        <f t="shared" si="56"/>
        <v>0.44300815568741347</v>
      </c>
      <c r="D287" s="21">
        <v>1.0605379347767199E-13</v>
      </c>
      <c r="E287">
        <f t="shared" si="57"/>
        <v>0.14850867181434657</v>
      </c>
      <c r="F287" s="22">
        <f t="shared" si="63"/>
        <v>1.0605379347767199E-13</v>
      </c>
      <c r="G287">
        <f t="shared" si="64"/>
        <v>0.13800746790111895</v>
      </c>
      <c r="H287" s="21">
        <v>5.0542858150354501E-4</v>
      </c>
      <c r="I287">
        <f t="shared" si="58"/>
        <v>3.4827353681659304E-2</v>
      </c>
      <c r="J287" s="22">
        <f t="shared" si="65"/>
        <v>5.0542858150354501E-4</v>
      </c>
      <c r="K287">
        <f t="shared" si="66"/>
        <v>3.4227861130738391E-2</v>
      </c>
      <c r="L287">
        <v>1.0424290461765739E-2</v>
      </c>
      <c r="M287">
        <f t="shared" si="59"/>
        <v>3.4227861130738391E-2</v>
      </c>
      <c r="N287">
        <f t="shared" si="67"/>
        <v>5.0542858150354501E-4</v>
      </c>
      <c r="O287">
        <v>1.0605379347767199E-13</v>
      </c>
      <c r="P287">
        <v>5.0542858139749117E-4</v>
      </c>
      <c r="Q287">
        <v>0.9994945714184964</v>
      </c>
      <c r="R287">
        <f t="shared" si="60"/>
        <v>1</v>
      </c>
      <c r="S287">
        <f t="shared" si="61"/>
        <v>200</v>
      </c>
      <c r="T287">
        <v>0.5307000104673657</v>
      </c>
      <c r="U287">
        <f t="shared" si="68"/>
        <v>200.54010426097113</v>
      </c>
      <c r="V287">
        <f t="shared" si="62"/>
        <v>2.527142907517725E-4</v>
      </c>
      <c r="W287">
        <f t="shared" si="69"/>
        <v>2.5719250528161597E-4</v>
      </c>
    </row>
    <row r="288" spans="1:23">
      <c r="A288" s="2">
        <v>285</v>
      </c>
      <c r="B288" s="2">
        <v>88.75</v>
      </c>
      <c r="C288">
        <f t="shared" si="56"/>
        <v>0.4417399649877653</v>
      </c>
      <c r="D288" s="21">
        <v>9.1408014316920795E-14</v>
      </c>
      <c r="E288">
        <f t="shared" si="57"/>
        <v>0.14861329241453861</v>
      </c>
      <c r="F288" s="22">
        <f t="shared" si="63"/>
        <v>9.1408014316920795E-14</v>
      </c>
      <c r="G288">
        <f t="shared" si="64"/>
        <v>0.13809764535989599</v>
      </c>
      <c r="H288" s="21">
        <v>4.8812285517676898E-4</v>
      </c>
      <c r="I288">
        <f t="shared" si="58"/>
        <v>3.4839619017704777E-2</v>
      </c>
      <c r="J288" s="22">
        <f t="shared" si="65"/>
        <v>4.8812285517676898E-4</v>
      </c>
      <c r="K288">
        <f t="shared" si="66"/>
        <v>3.4239706577920637E-2</v>
      </c>
      <c r="L288">
        <v>1.0424290461765739E-2</v>
      </c>
      <c r="M288">
        <f t="shared" si="59"/>
        <v>3.4239706577920637E-2</v>
      </c>
      <c r="N288">
        <f t="shared" si="67"/>
        <v>4.8812285517676898E-4</v>
      </c>
      <c r="O288">
        <v>9.1408014316920795E-14</v>
      </c>
      <c r="P288">
        <v>4.8812285508536098E-4</v>
      </c>
      <c r="Q288">
        <v>0.99951187714482326</v>
      </c>
      <c r="R288">
        <f t="shared" si="60"/>
        <v>1</v>
      </c>
      <c r="S288">
        <f t="shared" si="61"/>
        <v>200</v>
      </c>
      <c r="T288">
        <v>0.51252899783962902</v>
      </c>
      <c r="U288">
        <f t="shared" si="68"/>
        <v>200.52161450415349</v>
      </c>
      <c r="V288">
        <f t="shared" si="62"/>
        <v>2.4406142758838449E-4</v>
      </c>
      <c r="W288">
        <f t="shared" si="69"/>
        <v>2.4838785917007849E-4</v>
      </c>
    </row>
    <row r="289" spans="1:23">
      <c r="A289" s="2">
        <v>286</v>
      </c>
      <c r="B289" s="2">
        <v>88.833333300000007</v>
      </c>
      <c r="C289">
        <f t="shared" si="56"/>
        <v>0.44047540471259111</v>
      </c>
      <c r="D289" s="21">
        <v>7.8776563835295505E-14</v>
      </c>
      <c r="E289">
        <f t="shared" si="57"/>
        <v>0.14871761923858856</v>
      </c>
      <c r="F289" s="22">
        <f t="shared" si="63"/>
        <v>7.8776563835295505E-14</v>
      </c>
      <c r="G289">
        <f t="shared" si="64"/>
        <v>0.13818756020485012</v>
      </c>
      <c r="H289" s="21">
        <v>4.71403908140954E-4</v>
      </c>
      <c r="I289">
        <f t="shared" si="58"/>
        <v>3.48518456141561E-2</v>
      </c>
      <c r="J289" s="22">
        <f t="shared" si="65"/>
        <v>4.71403908140954E-4</v>
      </c>
      <c r="K289">
        <f t="shared" si="66"/>
        <v>3.4251514467111721E-2</v>
      </c>
      <c r="L289">
        <v>1.0424290461765739E-2</v>
      </c>
      <c r="M289">
        <f t="shared" si="59"/>
        <v>3.4251514467111721E-2</v>
      </c>
      <c r="N289">
        <f t="shared" si="67"/>
        <v>4.71403908140954E-4</v>
      </c>
      <c r="O289">
        <v>7.8776563835295505E-14</v>
      </c>
      <c r="P289">
        <v>4.7140390806217744E-4</v>
      </c>
      <c r="Q289">
        <v>0.99952859609185907</v>
      </c>
      <c r="R289">
        <f t="shared" si="60"/>
        <v>1</v>
      </c>
      <c r="S289">
        <f t="shared" si="61"/>
        <v>200</v>
      </c>
      <c r="T289">
        <v>0.49497410346528631</v>
      </c>
      <c r="U289">
        <f t="shared" si="68"/>
        <v>200.50375155065248</v>
      </c>
      <c r="V289">
        <f t="shared" si="62"/>
        <v>2.35701954070477E-4</v>
      </c>
      <c r="W289">
        <f t="shared" si="69"/>
        <v>2.3988169082943075E-4</v>
      </c>
    </row>
    <row r="290" spans="1:23">
      <c r="A290" s="2">
        <v>287</v>
      </c>
      <c r="B290" s="2">
        <v>88.916666699999993</v>
      </c>
      <c r="C290">
        <f t="shared" si="56"/>
        <v>0.43921446446914664</v>
      </c>
      <c r="D290" s="21">
        <v>6.7883560050988296E-14</v>
      </c>
      <c r="E290">
        <f t="shared" si="57"/>
        <v>0.14882165413610038</v>
      </c>
      <c r="F290" s="22">
        <f t="shared" si="63"/>
        <v>6.7883560050988296E-14</v>
      </c>
      <c r="G290">
        <f t="shared" si="64"/>
        <v>0.13827721411005034</v>
      </c>
      <c r="H290" s="21">
        <v>4.55252061663451E-4</v>
      </c>
      <c r="I290">
        <f t="shared" si="58"/>
        <v>3.4864033728419272E-2</v>
      </c>
      <c r="J290" s="22">
        <f t="shared" si="65"/>
        <v>4.55252061663451E-4</v>
      </c>
      <c r="K290">
        <f t="shared" si="66"/>
        <v>3.4263285048272141E-2</v>
      </c>
      <c r="L290">
        <v>1.0424290461765739E-2</v>
      </c>
      <c r="M290">
        <f t="shared" si="59"/>
        <v>3.4263285048272141E-2</v>
      </c>
      <c r="N290">
        <f t="shared" si="67"/>
        <v>4.55252061663451E-4</v>
      </c>
      <c r="O290">
        <v>6.7883560050988296E-14</v>
      </c>
      <c r="P290">
        <v>4.5525206159556742E-4</v>
      </c>
      <c r="Q290">
        <v>0.99954474793833659</v>
      </c>
      <c r="R290">
        <f t="shared" si="60"/>
        <v>1</v>
      </c>
      <c r="S290">
        <f t="shared" si="61"/>
        <v>200</v>
      </c>
      <c r="T290">
        <v>0.47801466467534581</v>
      </c>
      <c r="U290">
        <f t="shared" si="68"/>
        <v>200.48649438407031</v>
      </c>
      <c r="V290">
        <f t="shared" si="62"/>
        <v>2.276260308317255E-4</v>
      </c>
      <c r="W290">
        <f t="shared" si="69"/>
        <v>2.3166399245110123E-4</v>
      </c>
    </row>
    <row r="291" spans="1:23">
      <c r="A291" s="2">
        <v>288</v>
      </c>
      <c r="B291" s="2">
        <v>89</v>
      </c>
      <c r="C291">
        <f t="shared" si="56"/>
        <v>0.43795713389443863</v>
      </c>
      <c r="D291" s="21">
        <v>5.8490742058002801E-14</v>
      </c>
      <c r="E291">
        <f t="shared" si="57"/>
        <v>0.1489253989386225</v>
      </c>
      <c r="F291" s="22">
        <f t="shared" si="63"/>
        <v>5.8490742058002801E-14</v>
      </c>
      <c r="G291">
        <f t="shared" si="64"/>
        <v>0.13836660873310735</v>
      </c>
      <c r="H291" s="21">
        <v>4.3964828879643599E-4</v>
      </c>
      <c r="I291">
        <f t="shared" si="58"/>
        <v>3.4876183615299761E-2</v>
      </c>
      <c r="J291" s="22">
        <f t="shared" si="65"/>
        <v>4.3964828879643599E-4</v>
      </c>
      <c r="K291">
        <f t="shared" si="66"/>
        <v>3.4275018568834525E-2</v>
      </c>
      <c r="L291">
        <v>1.1819068483294393E-2</v>
      </c>
      <c r="M291">
        <f t="shared" si="59"/>
        <v>3.4275018568834525E-2</v>
      </c>
      <c r="N291">
        <f t="shared" si="67"/>
        <v>4.3964828879643599E-4</v>
      </c>
      <c r="O291">
        <v>5.8490742058002801E-14</v>
      </c>
      <c r="P291">
        <v>4.3964828873794523E-4</v>
      </c>
      <c r="Q291">
        <v>0.99956035171120361</v>
      </c>
      <c r="R291">
        <f t="shared" si="60"/>
        <v>1</v>
      </c>
      <c r="S291">
        <f t="shared" si="61"/>
        <v>200</v>
      </c>
      <c r="T291">
        <v>0.4616307031748425</v>
      </c>
      <c r="U291">
        <f t="shared" si="68"/>
        <v>200.46982268392509</v>
      </c>
      <c r="V291">
        <f t="shared" si="62"/>
        <v>2.1982414439821799E-4</v>
      </c>
      <c r="W291">
        <f t="shared" si="69"/>
        <v>2.2372508761497173E-4</v>
      </c>
    </row>
    <row r="292" spans="1:23">
      <c r="A292" s="2">
        <v>289</v>
      </c>
      <c r="B292" s="2">
        <v>89.083333300000007</v>
      </c>
      <c r="C292">
        <f t="shared" si="56"/>
        <v>0.43670340265513968</v>
      </c>
      <c r="D292" s="21">
        <v>5.0392362748914899E-14</v>
      </c>
      <c r="E292">
        <f t="shared" si="57"/>
        <v>0.1490288554598958</v>
      </c>
      <c r="F292" s="22">
        <f t="shared" si="63"/>
        <v>5.0392362748914899E-14</v>
      </c>
      <c r="G292">
        <f t="shared" si="64"/>
        <v>0.1384557457154002</v>
      </c>
      <c r="H292" s="21">
        <v>4.2457419309788701E-4</v>
      </c>
      <c r="I292">
        <f t="shared" si="58"/>
        <v>3.4888295527036511E-2</v>
      </c>
      <c r="J292" s="22">
        <f t="shared" si="65"/>
        <v>4.2457419309788701E-4</v>
      </c>
      <c r="K292">
        <f t="shared" si="66"/>
        <v>3.4286715273736723E-2</v>
      </c>
      <c r="L292">
        <v>1.1819068483294393E-2</v>
      </c>
      <c r="M292">
        <f t="shared" si="59"/>
        <v>3.4286715273736723E-2</v>
      </c>
      <c r="N292">
        <f t="shared" si="67"/>
        <v>4.2457419309788701E-4</v>
      </c>
      <c r="O292">
        <v>5.0392362748914899E-14</v>
      </c>
      <c r="P292">
        <v>4.2457419304749465E-4</v>
      </c>
      <c r="Q292">
        <v>0.99957542580690206</v>
      </c>
      <c r="R292">
        <f t="shared" si="60"/>
        <v>1</v>
      </c>
      <c r="S292">
        <f t="shared" si="61"/>
        <v>200</v>
      </c>
      <c r="T292">
        <v>0.44580290269986939</v>
      </c>
      <c r="U292">
        <f t="shared" si="68"/>
        <v>200.45371680293735</v>
      </c>
      <c r="V292">
        <f t="shared" si="62"/>
        <v>2.122870965489435E-4</v>
      </c>
      <c r="W292">
        <f t="shared" si="69"/>
        <v>2.1605562047358076E-4</v>
      </c>
    </row>
    <row r="293" spans="1:23">
      <c r="A293" s="2">
        <v>290</v>
      </c>
      <c r="B293" s="2">
        <v>89.166666699999993</v>
      </c>
      <c r="C293">
        <f t="shared" si="56"/>
        <v>0.43545326044750321</v>
      </c>
      <c r="D293" s="21">
        <v>4.3410771664228602E-14</v>
      </c>
      <c r="E293">
        <f t="shared" si="57"/>
        <v>0.14913202549607193</v>
      </c>
      <c r="F293" s="22">
        <f t="shared" si="63"/>
        <v>4.3410771664228602E-14</v>
      </c>
      <c r="G293">
        <f t="shared" si="64"/>
        <v>0.13854462668227696</v>
      </c>
      <c r="H293" s="21">
        <v>4.1001198803554401E-4</v>
      </c>
      <c r="I293">
        <f t="shared" si="58"/>
        <v>3.4900369713344662E-2</v>
      </c>
      <c r="J293" s="22">
        <f t="shared" si="65"/>
        <v>4.1001198803554401E-4</v>
      </c>
      <c r="K293">
        <f t="shared" si="66"/>
        <v>3.4298375405463322E-2</v>
      </c>
      <c r="L293">
        <v>1.1819068483294393E-2</v>
      </c>
      <c r="M293">
        <f t="shared" si="59"/>
        <v>3.4298375405463322E-2</v>
      </c>
      <c r="N293">
        <f t="shared" si="67"/>
        <v>4.1001198803554401E-4</v>
      </c>
      <c r="O293">
        <v>4.3410771664228602E-14</v>
      </c>
      <c r="P293">
        <v>4.1001198799213326E-4</v>
      </c>
      <c r="Q293">
        <v>0.99958998801196441</v>
      </c>
      <c r="R293">
        <f t="shared" si="60"/>
        <v>1</v>
      </c>
      <c r="S293">
        <f t="shared" si="61"/>
        <v>200</v>
      </c>
      <c r="T293">
        <v>0.43051258739173992</v>
      </c>
      <c r="U293">
        <f t="shared" si="68"/>
        <v>200.4381577450458</v>
      </c>
      <c r="V293">
        <f t="shared" si="62"/>
        <v>2.05005994017772E-4</v>
      </c>
      <c r="W293">
        <f t="shared" si="69"/>
        <v>2.0864654528335774E-4</v>
      </c>
    </row>
    <row r="294" spans="1:23">
      <c r="A294" s="2">
        <v>291</v>
      </c>
      <c r="B294" s="2">
        <v>89.25</v>
      </c>
      <c r="C294">
        <f t="shared" si="56"/>
        <v>0.43420669699727915</v>
      </c>
      <c r="D294" s="21">
        <v>3.7392595162615603E-14</v>
      </c>
      <c r="E294">
        <f t="shared" si="57"/>
        <v>0.14923491082595455</v>
      </c>
      <c r="F294" s="22">
        <f t="shared" si="63"/>
        <v>3.7392595162615603E-14</v>
      </c>
      <c r="G294">
        <f t="shared" si="64"/>
        <v>0.13863325324327525</v>
      </c>
      <c r="H294" s="21">
        <v>3.9594447705239099E-4</v>
      </c>
      <c r="I294">
        <f t="shared" si="58"/>
        <v>3.4912406421426241E-2</v>
      </c>
      <c r="J294" s="22">
        <f t="shared" si="65"/>
        <v>3.9594447705239099E-4</v>
      </c>
      <c r="K294">
        <f t="shared" si="66"/>
        <v>3.4309999204056196E-2</v>
      </c>
      <c r="L294">
        <v>1.1819068483294393E-2</v>
      </c>
      <c r="M294">
        <f t="shared" si="59"/>
        <v>3.4309999204056196E-2</v>
      </c>
      <c r="N294">
        <f t="shared" si="67"/>
        <v>3.9594447705239099E-4</v>
      </c>
      <c r="O294">
        <v>3.7392595162615603E-14</v>
      </c>
      <c r="P294">
        <v>3.9594447701499837E-4</v>
      </c>
      <c r="Q294">
        <v>0.99960405552294762</v>
      </c>
      <c r="R294">
        <f t="shared" si="60"/>
        <v>1</v>
      </c>
      <c r="S294">
        <f t="shared" si="61"/>
        <v>200</v>
      </c>
      <c r="T294">
        <v>0.4157417008657483</v>
      </c>
      <c r="U294">
        <f t="shared" si="68"/>
        <v>200.42312714412873</v>
      </c>
      <c r="V294">
        <f t="shared" si="62"/>
        <v>1.9797223852619549E-4</v>
      </c>
      <c r="W294">
        <f t="shared" si="69"/>
        <v>2.0148911627198375E-4</v>
      </c>
    </row>
    <row r="295" spans="1:23">
      <c r="A295" s="2">
        <v>292</v>
      </c>
      <c r="B295" s="2">
        <v>89.333333300000007</v>
      </c>
      <c r="C295">
        <f t="shared" si="56"/>
        <v>0.43296370205962958</v>
      </c>
      <c r="D295" s="21">
        <v>3.2205433524191702E-14</v>
      </c>
      <c r="E295">
        <f t="shared" si="57"/>
        <v>0.14933751321123678</v>
      </c>
      <c r="F295" s="22">
        <f t="shared" si="63"/>
        <v>3.2205433524191702E-14</v>
      </c>
      <c r="G295">
        <f t="shared" si="64"/>
        <v>0.13872162699233903</v>
      </c>
      <c r="H295" s="21">
        <v>3.8235503427282098E-4</v>
      </c>
      <c r="I295">
        <f t="shared" si="58"/>
        <v>3.49244058960336E-2</v>
      </c>
      <c r="J295" s="22">
        <f t="shared" si="65"/>
        <v>3.8235503427282098E-4</v>
      </c>
      <c r="K295">
        <f t="shared" si="66"/>
        <v>3.4321586907176016E-2</v>
      </c>
      <c r="L295">
        <v>1.1819068483294393E-2</v>
      </c>
      <c r="M295">
        <f t="shared" si="59"/>
        <v>3.4321586907176016E-2</v>
      </c>
      <c r="N295">
        <f t="shared" si="67"/>
        <v>3.8235503427282098E-4</v>
      </c>
      <c r="O295">
        <v>3.2205433524191702E-14</v>
      </c>
      <c r="P295">
        <v>3.8235503424061557E-4</v>
      </c>
      <c r="Q295">
        <v>0.99961764496572714</v>
      </c>
      <c r="R295">
        <f t="shared" si="60"/>
        <v>1</v>
      </c>
      <c r="S295">
        <f t="shared" si="61"/>
        <v>200</v>
      </c>
      <c r="T295">
        <v>0.40147278595264635</v>
      </c>
      <c r="U295">
        <f t="shared" si="68"/>
        <v>200.40860724340919</v>
      </c>
      <c r="V295">
        <f t="shared" si="62"/>
        <v>1.9117751713641049E-4</v>
      </c>
      <c r="W295">
        <f t="shared" si="69"/>
        <v>1.9457487783130299E-4</v>
      </c>
    </row>
    <row r="296" spans="1:23">
      <c r="A296" s="2">
        <v>293</v>
      </c>
      <c r="B296" s="2">
        <v>89.416666699999993</v>
      </c>
      <c r="C296">
        <f t="shared" si="56"/>
        <v>0.43172426541904374</v>
      </c>
      <c r="D296" s="21">
        <v>2.7735005363902199E-14</v>
      </c>
      <c r="E296">
        <f t="shared" si="57"/>
        <v>0.14943983439669431</v>
      </c>
      <c r="F296" s="22">
        <f t="shared" si="63"/>
        <v>2.7735005363902202E-14</v>
      </c>
      <c r="G296">
        <f t="shared" si="64"/>
        <v>0.13880974950799707</v>
      </c>
      <c r="H296" s="21">
        <v>3.6922758582932902E-4</v>
      </c>
      <c r="I296">
        <f t="shared" si="58"/>
        <v>3.4936368379477584E-2</v>
      </c>
      <c r="J296" s="22">
        <f t="shared" si="65"/>
        <v>3.6922758582932902E-4</v>
      </c>
      <c r="K296">
        <f t="shared" si="66"/>
        <v>3.4333138750110348E-2</v>
      </c>
      <c r="L296">
        <v>1.1819068483294393E-2</v>
      </c>
      <c r="M296">
        <f t="shared" si="59"/>
        <v>3.4333138750110348E-2</v>
      </c>
      <c r="N296">
        <f t="shared" si="67"/>
        <v>3.6922758582932902E-4</v>
      </c>
      <c r="O296">
        <v>2.7735005363902202E-14</v>
      </c>
      <c r="P296">
        <v>3.6922758580159399E-4</v>
      </c>
      <c r="Q296">
        <v>0.99963077241417064</v>
      </c>
      <c r="R296">
        <f t="shared" si="60"/>
        <v>1</v>
      </c>
      <c r="S296">
        <f t="shared" si="61"/>
        <v>200</v>
      </c>
      <c r="T296">
        <v>0.38768896509167372</v>
      </c>
      <c r="U296">
        <f t="shared" si="68"/>
        <v>200.39458087552217</v>
      </c>
      <c r="V296">
        <f t="shared" si="62"/>
        <v>1.8461379291466451E-4</v>
      </c>
      <c r="W296">
        <f t="shared" si="69"/>
        <v>1.8789565502553749E-4</v>
      </c>
    </row>
    <row r="297" spans="1:23">
      <c r="A297" s="2">
        <v>294</v>
      </c>
      <c r="B297" s="2">
        <v>89.5</v>
      </c>
      <c r="C297">
        <f t="shared" si="56"/>
        <v>0.4304883768892549</v>
      </c>
      <c r="D297" s="21">
        <v>2.3882679062891799E-14</v>
      </c>
      <c r="E297">
        <f t="shared" si="57"/>
        <v>0.14954187611044842</v>
      </c>
      <c r="F297" s="22">
        <f t="shared" si="63"/>
        <v>2.3882679062891799E-14</v>
      </c>
      <c r="G297">
        <f t="shared" si="64"/>
        <v>0.13889762235360148</v>
      </c>
      <c r="H297" s="21">
        <v>3.5654659179015601E-4</v>
      </c>
      <c r="I297">
        <f t="shared" si="58"/>
        <v>3.4948294111680968E-2</v>
      </c>
      <c r="J297" s="22">
        <f t="shared" si="65"/>
        <v>3.5654659179015601E-4</v>
      </c>
      <c r="K297">
        <f t="shared" si="66"/>
        <v>3.4344654965825505E-2</v>
      </c>
      <c r="L297">
        <v>1.1819068483294393E-2</v>
      </c>
      <c r="M297">
        <f t="shared" si="59"/>
        <v>3.4344654965825505E-2</v>
      </c>
      <c r="N297">
        <f t="shared" si="67"/>
        <v>3.5654659179015601E-4</v>
      </c>
      <c r="O297">
        <v>2.3882679062891799E-14</v>
      </c>
      <c r="P297">
        <v>3.5654659176627331E-4</v>
      </c>
      <c r="Q297">
        <v>0.99964345340820981</v>
      </c>
      <c r="R297">
        <f t="shared" si="60"/>
        <v>1</v>
      </c>
      <c r="S297">
        <f t="shared" si="61"/>
        <v>200</v>
      </c>
      <c r="T297">
        <v>0.37437392135458697</v>
      </c>
      <c r="U297">
        <f t="shared" si="68"/>
        <v>200.38103144322315</v>
      </c>
      <c r="V297">
        <f t="shared" si="62"/>
        <v>1.78273295895078E-4</v>
      </c>
      <c r="W297">
        <f t="shared" si="69"/>
        <v>1.8144354440487127E-4</v>
      </c>
    </row>
    <row r="298" spans="1:23">
      <c r="A298" s="2">
        <v>295</v>
      </c>
      <c r="B298" s="2">
        <v>89.583333300000007</v>
      </c>
      <c r="C298">
        <f t="shared" si="56"/>
        <v>0.42925602631315657</v>
      </c>
      <c r="D298" s="21">
        <v>2.0563339012463499E-14</v>
      </c>
      <c r="E298">
        <f t="shared" si="57"/>
        <v>0.14964364006413541</v>
      </c>
      <c r="F298" s="22">
        <f t="shared" si="63"/>
        <v>2.0563339012463499E-14</v>
      </c>
      <c r="G298">
        <f t="shared" si="64"/>
        <v>0.13898524707748527</v>
      </c>
      <c r="H298" s="21">
        <v>3.4429702866894198E-4</v>
      </c>
      <c r="I298">
        <f t="shared" si="58"/>
        <v>3.4960183330190991E-2</v>
      </c>
      <c r="J298" s="22">
        <f t="shared" si="65"/>
        <v>3.4429702866894198E-4</v>
      </c>
      <c r="K298">
        <f t="shared" si="66"/>
        <v>3.435613578497887E-2</v>
      </c>
      <c r="L298">
        <v>1.1819068483294393E-2</v>
      </c>
      <c r="M298">
        <f t="shared" si="59"/>
        <v>3.435613578497887E-2</v>
      </c>
      <c r="N298">
        <f t="shared" si="67"/>
        <v>3.4429702866894198E-4</v>
      </c>
      <c r="O298">
        <v>2.0563339012463499E-14</v>
      </c>
      <c r="P298">
        <v>3.4429702864837862E-4</v>
      </c>
      <c r="Q298">
        <v>0.99965570297133111</v>
      </c>
      <c r="R298">
        <f t="shared" si="60"/>
        <v>1</v>
      </c>
      <c r="S298">
        <f t="shared" si="61"/>
        <v>200</v>
      </c>
      <c r="T298">
        <v>0.36151188008079754</v>
      </c>
      <c r="U298">
        <f t="shared" si="68"/>
        <v>200.36794290071768</v>
      </c>
      <c r="V298">
        <f t="shared" si="62"/>
        <v>1.7214851433447099E-4</v>
      </c>
      <c r="W298">
        <f t="shared" si="69"/>
        <v>1.752109051147745E-4</v>
      </c>
    </row>
    <row r="299" spans="1:23">
      <c r="A299" s="2">
        <v>296</v>
      </c>
      <c r="B299" s="2">
        <v>89.666666699999993</v>
      </c>
      <c r="C299">
        <f t="shared" si="56"/>
        <v>0.42802720356271845</v>
      </c>
      <c r="D299" s="21">
        <v>1.77035414728515E-14</v>
      </c>
      <c r="E299">
        <f t="shared" si="57"/>
        <v>0.14974512795315156</v>
      </c>
      <c r="F299" s="22">
        <f t="shared" si="63"/>
        <v>1.77035414728515E-14</v>
      </c>
      <c r="G299">
        <f t="shared" si="64"/>
        <v>0.13907262521318486</v>
      </c>
      <c r="H299" s="21">
        <v>3.32464372498006E-4</v>
      </c>
      <c r="I299">
        <f t="shared" si="58"/>
        <v>3.4972036270212829E-2</v>
      </c>
      <c r="J299" s="22">
        <f t="shared" si="65"/>
        <v>3.32464372498006E-4</v>
      </c>
      <c r="K299">
        <f t="shared" si="66"/>
        <v>3.4367581435951422E-2</v>
      </c>
      <c r="L299">
        <v>1.1819068483294393E-2</v>
      </c>
      <c r="M299">
        <f t="shared" si="59"/>
        <v>3.4367581435951422E-2</v>
      </c>
      <c r="N299">
        <f t="shared" si="67"/>
        <v>3.32464372498006E-4</v>
      </c>
      <c r="O299">
        <v>1.77035414728515E-14</v>
      </c>
      <c r="P299">
        <v>3.3246437248030244E-4</v>
      </c>
      <c r="Q299">
        <v>0.99966753562750199</v>
      </c>
      <c r="R299">
        <f t="shared" si="60"/>
        <v>1</v>
      </c>
      <c r="S299">
        <f t="shared" si="61"/>
        <v>200</v>
      </c>
      <c r="T299">
        <v>0.34908759110431758</v>
      </c>
      <c r="U299">
        <f t="shared" si="68"/>
        <v>200.35529973559255</v>
      </c>
      <c r="V299">
        <f t="shared" si="62"/>
        <v>1.66232186249003E-4</v>
      </c>
      <c r="W299">
        <f t="shared" si="69"/>
        <v>1.6919035029173699E-4</v>
      </c>
    </row>
    <row r="300" spans="1:23">
      <c r="A300" s="2">
        <v>297</v>
      </c>
      <c r="B300" s="2">
        <v>89.75</v>
      </c>
      <c r="C300">
        <f t="shared" si="56"/>
        <v>0.4268018985389036</v>
      </c>
      <c r="D300" s="21">
        <v>1.52399209207963E-14</v>
      </c>
      <c r="E300">
        <f t="shared" si="57"/>
        <v>0.14984634145684592</v>
      </c>
      <c r="F300" s="22">
        <f t="shared" si="63"/>
        <v>1.52399209207963E-14</v>
      </c>
      <c r="G300">
        <f t="shared" si="64"/>
        <v>0.13915975827961757</v>
      </c>
      <c r="H300" s="21">
        <v>3.2103458244743402E-4</v>
      </c>
      <c r="I300">
        <f t="shared" si="58"/>
        <v>3.4983853164675685E-2</v>
      </c>
      <c r="J300" s="22">
        <f t="shared" si="65"/>
        <v>3.2103458244743402E-4</v>
      </c>
      <c r="K300">
        <f t="shared" si="66"/>
        <v>3.4378992144911802E-2</v>
      </c>
      <c r="L300">
        <v>1.1819068483294393E-2</v>
      </c>
      <c r="M300">
        <f t="shared" si="59"/>
        <v>3.4378992144911802E-2</v>
      </c>
      <c r="N300">
        <f t="shared" si="67"/>
        <v>3.2103458244743402E-4</v>
      </c>
      <c r="O300">
        <v>1.52399209207963E-14</v>
      </c>
      <c r="P300">
        <v>3.210345824321941E-4</v>
      </c>
      <c r="Q300">
        <v>0.99967896541755252</v>
      </c>
      <c r="R300">
        <f t="shared" si="60"/>
        <v>1</v>
      </c>
      <c r="S300">
        <f t="shared" si="61"/>
        <v>200</v>
      </c>
      <c r="T300">
        <v>0.33708631155380381</v>
      </c>
      <c r="U300">
        <f t="shared" si="68"/>
        <v>200.34308695132904</v>
      </c>
      <c r="V300">
        <f t="shared" si="62"/>
        <v>1.6051729122371701E-4</v>
      </c>
      <c r="W300">
        <f t="shared" si="69"/>
        <v>1.6337473873635999E-4</v>
      </c>
    </row>
    <row r="301" spans="1:23">
      <c r="A301" s="2">
        <v>298</v>
      </c>
      <c r="B301" s="2">
        <v>89.833333300000007</v>
      </c>
      <c r="C301">
        <f t="shared" si="56"/>
        <v>0.42558010117158568</v>
      </c>
      <c r="D301" s="21">
        <v>1.31178130201239E-14</v>
      </c>
      <c r="E301">
        <f t="shared" si="57"/>
        <v>0.1499472822387164</v>
      </c>
      <c r="F301" s="22">
        <f t="shared" si="63"/>
        <v>1.31178130201239E-14</v>
      </c>
      <c r="G301">
        <f t="shared" si="64"/>
        <v>0.1392466477812615</v>
      </c>
      <c r="H301" s="21">
        <v>3.0999408497274999E-4</v>
      </c>
      <c r="I301">
        <f t="shared" si="58"/>
        <v>3.4995634244196147E-2</v>
      </c>
      <c r="J301" s="22">
        <f t="shared" si="65"/>
        <v>3.0999408497274999E-4</v>
      </c>
      <c r="K301">
        <f t="shared" si="66"/>
        <v>3.4390368135781113E-2</v>
      </c>
      <c r="L301">
        <v>1.1819068483294393E-2</v>
      </c>
      <c r="M301">
        <f t="shared" si="59"/>
        <v>3.4390368135781113E-2</v>
      </c>
      <c r="N301">
        <f t="shared" si="67"/>
        <v>3.0999408497274999E-4</v>
      </c>
      <c r="O301">
        <v>1.31178130201239E-14</v>
      </c>
      <c r="P301">
        <v>3.0999408495963217E-4</v>
      </c>
      <c r="Q301">
        <v>0.99969000591502721</v>
      </c>
      <c r="R301">
        <f t="shared" si="60"/>
        <v>1</v>
      </c>
      <c r="S301">
        <f t="shared" si="61"/>
        <v>200</v>
      </c>
      <c r="T301">
        <v>0.32549378920761379</v>
      </c>
      <c r="U301">
        <f t="shared" si="68"/>
        <v>200.33129005038069</v>
      </c>
      <c r="V301">
        <f t="shared" si="62"/>
        <v>1.5499704248637499E-4</v>
      </c>
      <c r="W301">
        <f t="shared" si="69"/>
        <v>1.5775716685504602E-4</v>
      </c>
    </row>
    <row r="302" spans="1:23">
      <c r="A302" s="2">
        <v>299</v>
      </c>
      <c r="B302" s="2">
        <v>89.916666699999993</v>
      </c>
      <c r="C302">
        <f t="shared" si="56"/>
        <v>0.4243618014194655</v>
      </c>
      <c r="D302" s="21">
        <v>1.12900649061027E-14</v>
      </c>
      <c r="E302">
        <f t="shared" si="57"/>
        <v>0.15004795194665282</v>
      </c>
      <c r="F302" s="22">
        <f t="shared" si="63"/>
        <v>1.12900649061027E-14</v>
      </c>
      <c r="G302">
        <f t="shared" si="64"/>
        <v>0.1393332952083759</v>
      </c>
      <c r="H302" s="21">
        <v>2.9932975847440002E-4</v>
      </c>
      <c r="I302">
        <f t="shared" si="58"/>
        <v>3.5007379737170392E-2</v>
      </c>
      <c r="J302" s="22">
        <f t="shared" si="65"/>
        <v>2.9932975847440002E-4</v>
      </c>
      <c r="K302">
        <f t="shared" si="66"/>
        <v>3.4401709630322186E-2</v>
      </c>
      <c r="L302">
        <v>1.1819068483294393E-2</v>
      </c>
      <c r="M302">
        <f t="shared" si="59"/>
        <v>3.4401709630322186E-2</v>
      </c>
      <c r="N302">
        <f t="shared" si="67"/>
        <v>2.9932975847440002E-4</v>
      </c>
      <c r="O302">
        <v>1.12900649061027E-14</v>
      </c>
      <c r="P302">
        <v>2.9932975846310995E-4</v>
      </c>
      <c r="Q302">
        <v>0.99970067024152565</v>
      </c>
      <c r="R302">
        <f t="shared" si="60"/>
        <v>1</v>
      </c>
      <c r="S302">
        <f t="shared" si="61"/>
        <v>200</v>
      </c>
      <c r="T302">
        <v>0.31429624638626547</v>
      </c>
      <c r="U302">
        <f t="shared" si="68"/>
        <v>200.31989501779694</v>
      </c>
      <c r="V302">
        <f t="shared" si="62"/>
        <v>1.4966487923720001E-4</v>
      </c>
      <c r="W302">
        <f t="shared" si="69"/>
        <v>1.5233096086178749E-4</v>
      </c>
    </row>
    <row r="303" spans="1:23">
      <c r="A303" s="2">
        <v>300</v>
      </c>
      <c r="B303" s="2">
        <v>90</v>
      </c>
      <c r="C303">
        <f t="shared" si="56"/>
        <v>0.42314698926998906</v>
      </c>
      <c r="D303" s="21">
        <v>9.7160074209138602E-15</v>
      </c>
      <c r="E303">
        <f t="shared" si="57"/>
        <v>0.15014835221308886</v>
      </c>
      <c r="F303" s="22">
        <f t="shared" si="63"/>
        <v>9.7160074209138602E-15</v>
      </c>
      <c r="G303">
        <f t="shared" si="64"/>
        <v>0.13941970203714271</v>
      </c>
      <c r="H303" s="21">
        <v>2.8902891845287E-4</v>
      </c>
      <c r="I303">
        <f t="shared" si="58"/>
        <v>3.5019089869777205E-2</v>
      </c>
      <c r="J303" s="22">
        <f t="shared" si="65"/>
        <v>2.8902891845287E-4</v>
      </c>
      <c r="K303">
        <f t="shared" si="66"/>
        <v>3.4413016848142686E-2</v>
      </c>
      <c r="L303">
        <v>1.3478790939090768E-2</v>
      </c>
      <c r="M303">
        <f t="shared" si="59"/>
        <v>3.4413016848142686E-2</v>
      </c>
      <c r="N303">
        <f t="shared" si="67"/>
        <v>2.8902891845287E-4</v>
      </c>
      <c r="O303">
        <v>9.7160074209138602E-15</v>
      </c>
      <c r="P303">
        <v>2.8902891844315398E-4</v>
      </c>
      <c r="Q303">
        <v>0.99971097108154716</v>
      </c>
      <c r="R303">
        <f t="shared" si="60"/>
        <v>1</v>
      </c>
      <c r="S303">
        <f t="shared" si="61"/>
        <v>200</v>
      </c>
      <c r="T303">
        <v>0.30348036436531167</v>
      </c>
      <c r="U303">
        <f t="shared" si="68"/>
        <v>200.3088883053758</v>
      </c>
      <c r="V303">
        <f t="shared" si="62"/>
        <v>1.44514459226435E-4</v>
      </c>
      <c r="W303">
        <f t="shared" si="69"/>
        <v>1.4708966923181752E-4</v>
      </c>
    </row>
    <row r="304" spans="1:23">
      <c r="A304" s="2">
        <v>301</v>
      </c>
      <c r="B304" s="2">
        <v>90.083333300000007</v>
      </c>
      <c r="C304">
        <f t="shared" si="56"/>
        <v>0.42193565473926553</v>
      </c>
      <c r="D304" s="21">
        <v>8.3605673553574295E-15</v>
      </c>
      <c r="E304">
        <f t="shared" si="57"/>
        <v>0.15024848465522256</v>
      </c>
      <c r="F304" s="22">
        <f t="shared" si="63"/>
        <v>8.3605673553574295E-15</v>
      </c>
      <c r="G304">
        <f t="shared" si="64"/>
        <v>0.13950586972986712</v>
      </c>
      <c r="H304" s="21">
        <v>2.7907930314372101E-4</v>
      </c>
      <c r="I304">
        <f t="shared" si="58"/>
        <v>3.5030764865999139E-2</v>
      </c>
      <c r="J304" s="22">
        <f t="shared" si="65"/>
        <v>2.7907930314372101E-4</v>
      </c>
      <c r="K304">
        <f t="shared" si="66"/>
        <v>3.4424290006715763E-2</v>
      </c>
      <c r="L304">
        <v>1.3478790939090768E-2</v>
      </c>
      <c r="M304">
        <f t="shared" si="59"/>
        <v>3.4424290006715763E-2</v>
      </c>
      <c r="N304">
        <f t="shared" si="67"/>
        <v>2.7907930314372101E-4</v>
      </c>
      <c r="O304">
        <v>8.3605673553574295E-15</v>
      </c>
      <c r="P304">
        <v>2.7907930313536046E-4</v>
      </c>
      <c r="Q304">
        <v>0.99972092069685625</v>
      </c>
      <c r="R304">
        <f t="shared" si="60"/>
        <v>1</v>
      </c>
      <c r="S304">
        <f t="shared" si="61"/>
        <v>200</v>
      </c>
      <c r="T304">
        <v>0.2930332682921285</v>
      </c>
      <c r="U304">
        <f t="shared" si="68"/>
        <v>200.29825681632872</v>
      </c>
      <c r="V304">
        <f t="shared" si="62"/>
        <v>1.3953965157186051E-4</v>
      </c>
      <c r="W304">
        <f t="shared" si="69"/>
        <v>1.4202705539914775E-4</v>
      </c>
    </row>
    <row r="305" spans="1:23">
      <c r="A305" s="2">
        <v>302</v>
      </c>
      <c r="B305" s="2">
        <v>90.166666699999993</v>
      </c>
      <c r="C305">
        <f t="shared" si="56"/>
        <v>0.42072778787198373</v>
      </c>
      <c r="D305" s="21">
        <v>7.1935007114160902E-15</v>
      </c>
      <c r="E305">
        <f t="shared" si="57"/>
        <v>0.1503483508752117</v>
      </c>
      <c r="F305" s="22">
        <f t="shared" si="63"/>
        <v>7.1935007114160902E-15</v>
      </c>
      <c r="G305">
        <f t="shared" si="64"/>
        <v>0.13959179973515623</v>
      </c>
      <c r="H305" s="21">
        <v>2.6946905961731401E-4</v>
      </c>
      <c r="I305">
        <f t="shared" si="58"/>
        <v>3.5042404947663489E-2</v>
      </c>
      <c r="J305" s="22">
        <f t="shared" si="65"/>
        <v>2.6946905961731401E-4</v>
      </c>
      <c r="K305">
        <f t="shared" si="66"/>
        <v>3.44355293214198E-2</v>
      </c>
      <c r="L305">
        <v>1.3478790939090768E-2</v>
      </c>
      <c r="M305">
        <f t="shared" si="59"/>
        <v>3.44355293214198E-2</v>
      </c>
      <c r="N305">
        <f t="shared" si="67"/>
        <v>2.6946905961731401E-4</v>
      </c>
      <c r="O305">
        <v>7.1935007114160902E-15</v>
      </c>
      <c r="P305">
        <v>2.6946905961012049E-4</v>
      </c>
      <c r="Q305">
        <v>0.99973053094038267</v>
      </c>
      <c r="R305">
        <f t="shared" si="60"/>
        <v>1</v>
      </c>
      <c r="S305">
        <f t="shared" si="61"/>
        <v>200</v>
      </c>
      <c r="T305">
        <v>0.28294251259062653</v>
      </c>
      <c r="U305">
        <f t="shared" si="68"/>
        <v>200.28798789044137</v>
      </c>
      <c r="V305">
        <f t="shared" si="62"/>
        <v>1.34734529808657E-4</v>
      </c>
      <c r="W305">
        <f t="shared" si="69"/>
        <v>1.3713709069025875E-4</v>
      </c>
    </row>
    <row r="306" spans="1:23">
      <c r="A306" s="2">
        <v>303</v>
      </c>
      <c r="B306" s="2">
        <v>90.25</v>
      </c>
      <c r="C306">
        <f t="shared" si="56"/>
        <v>0.41952337874133255</v>
      </c>
      <c r="D306" s="21">
        <v>6.1887305626409602E-15</v>
      </c>
      <c r="E306">
        <f t="shared" si="57"/>
        <v>0.15044795246031822</v>
      </c>
      <c r="F306" s="22">
        <f t="shared" si="63"/>
        <v>6.1887305626409602E-15</v>
      </c>
      <c r="G306">
        <f t="shared" si="64"/>
        <v>0.13967749348805358</v>
      </c>
      <c r="H306" s="21">
        <v>2.6018673032847698E-4</v>
      </c>
      <c r="I306">
        <f t="shared" si="58"/>
        <v>3.5054010334471968E-2</v>
      </c>
      <c r="J306" s="22">
        <f t="shared" si="65"/>
        <v>2.6018673032847698E-4</v>
      </c>
      <c r="K306">
        <f t="shared" si="66"/>
        <v>3.4446735005567275E-2</v>
      </c>
      <c r="L306">
        <v>1.3478790939090768E-2</v>
      </c>
      <c r="M306">
        <f t="shared" si="59"/>
        <v>3.4446735005567275E-2</v>
      </c>
      <c r="N306">
        <f t="shared" si="67"/>
        <v>2.6018673032847698E-4</v>
      </c>
      <c r="O306">
        <v>6.1887305626409602E-15</v>
      </c>
      <c r="P306">
        <v>2.6018673032228825E-4</v>
      </c>
      <c r="Q306">
        <v>0.99973981326967154</v>
      </c>
      <c r="R306">
        <f t="shared" si="60"/>
        <v>1</v>
      </c>
      <c r="S306">
        <f t="shared" si="61"/>
        <v>200</v>
      </c>
      <c r="T306">
        <v>0.27319606683840264</v>
      </c>
      <c r="U306">
        <f t="shared" si="68"/>
        <v>200.27806928971452</v>
      </c>
      <c r="V306">
        <f t="shared" si="62"/>
        <v>1.3009336516423849E-4</v>
      </c>
      <c r="W306">
        <f t="shared" si="69"/>
        <v>1.3241394748644776E-4</v>
      </c>
    </row>
    <row r="307" spans="1:23">
      <c r="A307" s="2">
        <v>304</v>
      </c>
      <c r="B307" s="2">
        <v>90.333333300000007</v>
      </c>
      <c r="C307">
        <f t="shared" si="56"/>
        <v>0.41832241744891752</v>
      </c>
      <c r="D307" s="21">
        <v>5.3237753075344097E-15</v>
      </c>
      <c r="E307">
        <f t="shared" si="57"/>
        <v>0.15054729098319788</v>
      </c>
      <c r="F307" s="22">
        <f t="shared" si="63"/>
        <v>5.3237753075344097E-15</v>
      </c>
      <c r="G307">
        <f t="shared" si="64"/>
        <v>0.13976295241029879</v>
      </c>
      <c r="H307" s="21">
        <v>2.5122124010182301E-4</v>
      </c>
      <c r="I307">
        <f t="shared" si="58"/>
        <v>3.5065581244022363E-2</v>
      </c>
      <c r="J307" s="22">
        <f t="shared" si="65"/>
        <v>2.5122124010182301E-4</v>
      </c>
      <c r="K307">
        <f t="shared" si="66"/>
        <v>3.4457907270425858E-2</v>
      </c>
      <c r="L307">
        <v>1.3478790939090768E-2</v>
      </c>
      <c r="M307">
        <f t="shared" si="59"/>
        <v>3.4457907270425858E-2</v>
      </c>
      <c r="N307">
        <f t="shared" si="67"/>
        <v>2.5122124010182301E-4</v>
      </c>
      <c r="O307">
        <v>5.3237753075344097E-15</v>
      </c>
      <c r="P307">
        <v>2.5122124009649925E-4</v>
      </c>
      <c r="Q307">
        <v>0.9997487787598982</v>
      </c>
      <c r="R307">
        <f t="shared" si="60"/>
        <v>1</v>
      </c>
      <c r="S307">
        <f t="shared" si="61"/>
        <v>200</v>
      </c>
      <c r="T307">
        <v>0.2637823021013242</v>
      </c>
      <c r="U307">
        <f t="shared" si="68"/>
        <v>200.26848918446987</v>
      </c>
      <c r="V307">
        <f t="shared" si="62"/>
        <v>1.2561062005091151E-4</v>
      </c>
      <c r="W307">
        <f t="shared" si="69"/>
        <v>1.27851992607575E-4</v>
      </c>
    </row>
    <row r="308" spans="1:23">
      <c r="A308" s="2">
        <v>305</v>
      </c>
      <c r="B308" s="2">
        <v>90.416666699999993</v>
      </c>
      <c r="C308">
        <f t="shared" si="56"/>
        <v>0.4171248941246799</v>
      </c>
      <c r="D308" s="21">
        <v>4.57925503117151E-15</v>
      </c>
      <c r="E308">
        <f t="shared" si="57"/>
        <v>0.15064636800193662</v>
      </c>
      <c r="F308" s="22">
        <f t="shared" si="63"/>
        <v>4.57925503117151E-15</v>
      </c>
      <c r="G308">
        <f t="shared" si="64"/>
        <v>0.13984817791036863</v>
      </c>
      <c r="H308" s="21">
        <v>2.4256188353886899E-4</v>
      </c>
      <c r="I308">
        <f t="shared" si="58"/>
        <v>3.5077117891830871E-2</v>
      </c>
      <c r="J308" s="22">
        <f t="shared" si="65"/>
        <v>2.4256188353886899E-4</v>
      </c>
      <c r="K308">
        <f t="shared" si="66"/>
        <v>3.4469046325240171E-2</v>
      </c>
      <c r="L308">
        <v>1.3478790939090768E-2</v>
      </c>
      <c r="M308">
        <f t="shared" si="59"/>
        <v>3.4469046325240171E-2</v>
      </c>
      <c r="N308">
        <f t="shared" si="67"/>
        <v>2.4256188353886899E-4</v>
      </c>
      <c r="O308">
        <v>4.57925503117151E-15</v>
      </c>
      <c r="P308">
        <v>2.4256188353428973E-4</v>
      </c>
      <c r="Q308">
        <v>0.99975743811646112</v>
      </c>
      <c r="R308">
        <f t="shared" si="60"/>
        <v>1</v>
      </c>
      <c r="S308">
        <f t="shared" si="61"/>
        <v>200</v>
      </c>
      <c r="T308">
        <v>0.25468997771100421</v>
      </c>
      <c r="U308">
        <f t="shared" si="68"/>
        <v>200.25923613990616</v>
      </c>
      <c r="V308">
        <f t="shared" si="62"/>
        <v>1.212809417694345E-4</v>
      </c>
      <c r="W308">
        <f t="shared" si="69"/>
        <v>1.23445780910173E-4</v>
      </c>
    </row>
    <row r="309" spans="1:23">
      <c r="A309" s="2">
        <v>306</v>
      </c>
      <c r="B309" s="2">
        <v>90.5</v>
      </c>
      <c r="C309">
        <f t="shared" si="56"/>
        <v>0.41593079892681645</v>
      </c>
      <c r="D309" s="21">
        <v>3.9384653520845897E-15</v>
      </c>
      <c r="E309">
        <f t="shared" si="57"/>
        <v>0.15074518506038093</v>
      </c>
      <c r="F309" s="22">
        <f t="shared" si="63"/>
        <v>3.9384653520845897E-15</v>
      </c>
      <c r="G309">
        <f t="shared" si="64"/>
        <v>0.13993317138377137</v>
      </c>
      <c r="H309" s="21">
        <v>2.34198312833532E-4</v>
      </c>
      <c r="I309">
        <f t="shared" si="58"/>
        <v>3.5088620491367899E-2</v>
      </c>
      <c r="J309" s="22">
        <f t="shared" si="65"/>
        <v>2.34198312833532E-4</v>
      </c>
      <c r="K309">
        <f t="shared" si="66"/>
        <v>3.4480152377266537E-2</v>
      </c>
      <c r="L309">
        <v>1.3478790939090768E-2</v>
      </c>
      <c r="M309">
        <f t="shared" si="59"/>
        <v>3.4480152377266537E-2</v>
      </c>
      <c r="N309">
        <f t="shared" si="67"/>
        <v>2.34198312833532E-4</v>
      </c>
      <c r="O309">
        <v>3.9384653520845897E-15</v>
      </c>
      <c r="P309">
        <v>2.3419831282959352E-4</v>
      </c>
      <c r="Q309">
        <v>0.99976580168716644</v>
      </c>
      <c r="R309">
        <f t="shared" si="60"/>
        <v>1</v>
      </c>
      <c r="S309">
        <f t="shared" si="61"/>
        <v>200</v>
      </c>
      <c r="T309">
        <v>0.24590822847107319</v>
      </c>
      <c r="U309">
        <f t="shared" si="68"/>
        <v>200.25029910309104</v>
      </c>
      <c r="V309">
        <f t="shared" si="62"/>
        <v>1.17099156416766E-4</v>
      </c>
      <c r="W309">
        <f t="shared" si="69"/>
        <v>1.1919004909310025E-4</v>
      </c>
    </row>
    <row r="310" spans="1:23">
      <c r="A310" s="2">
        <v>307</v>
      </c>
      <c r="B310" s="2">
        <v>90.583333300000007</v>
      </c>
      <c r="C310">
        <f t="shared" si="56"/>
        <v>0.41474012204169725</v>
      </c>
      <c r="D310" s="21">
        <v>3.3870095695157501E-15</v>
      </c>
      <c r="E310">
        <f t="shared" si="57"/>
        <v>0.15084374368821396</v>
      </c>
      <c r="F310" s="22">
        <f t="shared" si="63"/>
        <v>3.3870095695157501E-15</v>
      </c>
      <c r="G310">
        <f t="shared" si="64"/>
        <v>0.14001793421312181</v>
      </c>
      <c r="H310" s="21">
        <v>2.2612052598300399E-4</v>
      </c>
      <c r="I310">
        <f t="shared" si="58"/>
        <v>3.5100089254084879E-2</v>
      </c>
      <c r="J310" s="22">
        <f t="shared" si="65"/>
        <v>2.2612052598300399E-4</v>
      </c>
      <c r="K310">
        <f t="shared" si="66"/>
        <v>3.4491225631799072E-2</v>
      </c>
      <c r="L310">
        <v>1.3478790939090768E-2</v>
      </c>
      <c r="M310">
        <f t="shared" si="59"/>
        <v>3.4491225631799072E-2</v>
      </c>
      <c r="N310">
        <f t="shared" si="67"/>
        <v>2.2612052598300399E-4</v>
      </c>
      <c r="O310">
        <v>3.3870095695157501E-15</v>
      </c>
      <c r="P310">
        <v>2.2612052597961697E-4</v>
      </c>
      <c r="Q310">
        <v>0.99977387947401697</v>
      </c>
      <c r="R310">
        <f t="shared" si="60"/>
        <v>1</v>
      </c>
      <c r="S310">
        <f t="shared" si="61"/>
        <v>200</v>
      </c>
      <c r="T310">
        <v>0.23742655227859782</v>
      </c>
      <c r="U310">
        <f t="shared" si="68"/>
        <v>200.24166739037486</v>
      </c>
      <c r="V310">
        <f t="shared" si="62"/>
        <v>1.1306026299150199E-4</v>
      </c>
      <c r="W310">
        <f t="shared" si="69"/>
        <v>1.15079709704134E-4</v>
      </c>
    </row>
    <row r="311" spans="1:23">
      <c r="A311" s="2">
        <v>308</v>
      </c>
      <c r="B311" s="2">
        <v>90.666666699999993</v>
      </c>
      <c r="C311">
        <f t="shared" si="56"/>
        <v>0.41355285368378597</v>
      </c>
      <c r="D311" s="21">
        <v>2.91248117047172E-15</v>
      </c>
      <c r="E311">
        <f t="shared" si="57"/>
        <v>0.15094204540113776</v>
      </c>
      <c r="F311" s="22">
        <f t="shared" si="63"/>
        <v>2.91248117047172E-15</v>
      </c>
      <c r="G311">
        <f t="shared" si="64"/>
        <v>0.1401024677683077</v>
      </c>
      <c r="H311" s="21">
        <v>2.18318855381412E-4</v>
      </c>
      <c r="I311">
        <f t="shared" si="58"/>
        <v>3.5111524389418239E-2</v>
      </c>
      <c r="J311" s="22">
        <f t="shared" si="65"/>
        <v>2.18318855381412E-4</v>
      </c>
      <c r="K311">
        <f t="shared" si="66"/>
        <v>3.4502266292173678E-2</v>
      </c>
      <c r="L311">
        <v>1.3478790939090768E-2</v>
      </c>
      <c r="M311">
        <f t="shared" si="59"/>
        <v>3.4502266292173678E-2</v>
      </c>
      <c r="N311">
        <f t="shared" si="67"/>
        <v>2.18318855381412E-4</v>
      </c>
      <c r="O311">
        <v>2.91248117047172E-15</v>
      </c>
      <c r="P311">
        <v>2.1831885537849951E-4</v>
      </c>
      <c r="Q311">
        <v>0.99978168114461863</v>
      </c>
      <c r="R311">
        <f t="shared" si="60"/>
        <v>1</v>
      </c>
      <c r="S311">
        <f t="shared" si="61"/>
        <v>200</v>
      </c>
      <c r="T311">
        <v>0.22923479814742448</v>
      </c>
      <c r="U311">
        <f t="shared" si="68"/>
        <v>200.23333067521301</v>
      </c>
      <c r="V311">
        <f t="shared" si="62"/>
        <v>1.09159427690706E-4</v>
      </c>
      <c r="W311">
        <f t="shared" si="69"/>
        <v>1.11109845341104E-4</v>
      </c>
    </row>
    <row r="312" spans="1:23">
      <c r="A312" s="2">
        <v>309</v>
      </c>
      <c r="B312" s="2">
        <v>90.75</v>
      </c>
      <c r="C312">
        <f t="shared" si="56"/>
        <v>0.41236898409555911</v>
      </c>
      <c r="D312" s="21">
        <v>2.5041898325754402E-15</v>
      </c>
      <c r="E312">
        <f t="shared" si="57"/>
        <v>0.15104009170113886</v>
      </c>
      <c r="F312" s="22">
        <f t="shared" si="63"/>
        <v>2.5041898325754402E-15</v>
      </c>
      <c r="G312">
        <f t="shared" si="64"/>
        <v>0.14018677340672758</v>
      </c>
      <c r="H312" s="21">
        <v>2.1078395678404401E-4</v>
      </c>
      <c r="I312">
        <f t="shared" si="58"/>
        <v>3.5122926104860508E-2</v>
      </c>
      <c r="J312" s="22">
        <f t="shared" si="65"/>
        <v>2.1078395678404401E-4</v>
      </c>
      <c r="K312">
        <f t="shared" si="66"/>
        <v>3.4513274559836882E-2</v>
      </c>
      <c r="L312">
        <v>1.3478790939090768E-2</v>
      </c>
      <c r="M312">
        <f t="shared" si="59"/>
        <v>3.4513274559836882E-2</v>
      </c>
      <c r="N312">
        <f t="shared" si="67"/>
        <v>2.1078395678404401E-4</v>
      </c>
      <c r="O312">
        <v>2.5041898325754402E-15</v>
      </c>
      <c r="P312">
        <v>2.1078395678153982E-4</v>
      </c>
      <c r="Q312">
        <v>0.99978921604321591</v>
      </c>
      <c r="R312">
        <f t="shared" si="60"/>
        <v>1</v>
      </c>
      <c r="S312">
        <f t="shared" si="61"/>
        <v>200</v>
      </c>
      <c r="T312">
        <v>0.2213231546206168</v>
      </c>
      <c r="U312">
        <f t="shared" si="68"/>
        <v>200.22527897638403</v>
      </c>
      <c r="V312">
        <f t="shared" si="62"/>
        <v>1.05391978392022E-4</v>
      </c>
      <c r="W312">
        <f t="shared" si="69"/>
        <v>1.07275703041364E-4</v>
      </c>
    </row>
    <row r="313" spans="1:23">
      <c r="A313" s="2">
        <v>310</v>
      </c>
      <c r="B313" s="2">
        <v>90.833333300000007</v>
      </c>
      <c r="C313">
        <f t="shared" si="56"/>
        <v>0.41118850354742575</v>
      </c>
      <c r="D313" s="21">
        <v>2.1529249900050299E-15</v>
      </c>
      <c r="E313">
        <f t="shared" si="57"/>
        <v>0.15113788407652651</v>
      </c>
      <c r="F313" s="22">
        <f t="shared" si="63"/>
        <v>2.1529249900050299E-15</v>
      </c>
      <c r="G313">
        <f t="shared" si="64"/>
        <v>0.14027085247333304</v>
      </c>
      <c r="H313" s="21">
        <v>2.03506798630339E-4</v>
      </c>
      <c r="I313">
        <f t="shared" si="58"/>
        <v>3.513429460592838E-2</v>
      </c>
      <c r="J313" s="22">
        <f t="shared" si="65"/>
        <v>2.03506798630339E-4</v>
      </c>
      <c r="K313">
        <f t="shared" si="66"/>
        <v>3.452425063431519E-2</v>
      </c>
      <c r="L313">
        <v>1.3478790939090768E-2</v>
      </c>
      <c r="M313">
        <f t="shared" si="59"/>
        <v>3.452425063431519E-2</v>
      </c>
      <c r="N313">
        <f t="shared" si="67"/>
        <v>2.03506798630339E-4</v>
      </c>
      <c r="O313">
        <v>2.1529249900050299E-15</v>
      </c>
      <c r="P313">
        <v>2.0350679862818607E-4</v>
      </c>
      <c r="Q313">
        <v>0.99979649320136965</v>
      </c>
      <c r="R313">
        <f t="shared" si="60"/>
        <v>1</v>
      </c>
      <c r="S313">
        <f t="shared" si="61"/>
        <v>200</v>
      </c>
      <c r="T313">
        <v>0.21368213855959536</v>
      </c>
      <c r="U313">
        <f t="shared" si="68"/>
        <v>200.21750264659011</v>
      </c>
      <c r="V313">
        <f t="shared" si="62"/>
        <v>1.017533993151695E-4</v>
      </c>
      <c r="W313">
        <f t="shared" si="69"/>
        <v>1.0357268885359575E-4</v>
      </c>
    </row>
    <row r="314" spans="1:23">
      <c r="A314" s="2">
        <v>311</v>
      </c>
      <c r="B314" s="2">
        <v>90.916666699999993</v>
      </c>
      <c r="C314">
        <f t="shared" si="56"/>
        <v>0.41001140233764771</v>
      </c>
      <c r="D314" s="21">
        <v>1.8507518353450801E-15</v>
      </c>
      <c r="E314">
        <f t="shared" si="57"/>
        <v>0.15123542400219764</v>
      </c>
      <c r="F314" s="22">
        <f t="shared" si="63"/>
        <v>1.8507518353450801E-15</v>
      </c>
      <c r="G314">
        <f t="shared" si="64"/>
        <v>0.14035470630086555</v>
      </c>
      <c r="H314" s="21">
        <v>1.9647865171416401E-4</v>
      </c>
      <c r="I314">
        <f t="shared" si="58"/>
        <v>3.5145630096229598E-2</v>
      </c>
      <c r="J314" s="22">
        <f t="shared" si="65"/>
        <v>1.9647865171416401E-4</v>
      </c>
      <c r="K314">
        <f t="shared" si="66"/>
        <v>3.4535194713279815E-2</v>
      </c>
      <c r="L314">
        <v>1.3478790939090768E-2</v>
      </c>
      <c r="M314">
        <f t="shared" si="59"/>
        <v>3.4535194713279815E-2</v>
      </c>
      <c r="N314">
        <f t="shared" si="67"/>
        <v>1.9647865171416401E-4</v>
      </c>
      <c r="O314">
        <v>1.8507518353450801E-15</v>
      </c>
      <c r="P314">
        <v>1.9647865171231325E-4</v>
      </c>
      <c r="Q314">
        <v>0.99980352134828587</v>
      </c>
      <c r="R314">
        <f t="shared" si="60"/>
        <v>1</v>
      </c>
      <c r="S314">
        <f t="shared" si="61"/>
        <v>200</v>
      </c>
      <c r="T314">
        <v>0.20630258429792891</v>
      </c>
      <c r="U314">
        <f t="shared" si="68"/>
        <v>200.20999236142876</v>
      </c>
      <c r="V314">
        <f t="shared" si="62"/>
        <v>9.8239325857082005E-5</v>
      </c>
      <c r="W314">
        <f t="shared" si="69"/>
        <v>9.9996362586125752E-5</v>
      </c>
    </row>
    <row r="315" spans="1:23">
      <c r="A315" s="2">
        <v>312</v>
      </c>
      <c r="B315" s="2">
        <v>91</v>
      </c>
      <c r="C315">
        <f t="shared" si="56"/>
        <v>0.40883767079226013</v>
      </c>
      <c r="D315" s="21">
        <v>1.5908353268517E-15</v>
      </c>
      <c r="E315">
        <f t="shared" si="57"/>
        <v>0.15133271293973846</v>
      </c>
      <c r="F315" s="22">
        <f t="shared" si="63"/>
        <v>1.5908353268517E-15</v>
      </c>
      <c r="G315">
        <f t="shared" si="64"/>
        <v>0.14043833620995305</v>
      </c>
      <c r="H315" s="21">
        <v>1.8969107919029199E-4</v>
      </c>
      <c r="I315">
        <f t="shared" si="58"/>
        <v>3.5156932777479652E-2</v>
      </c>
      <c r="J315" s="22">
        <f t="shared" si="65"/>
        <v>1.8969107919029199E-4</v>
      </c>
      <c r="K315">
        <f t="shared" si="66"/>
        <v>3.4546106992562997E-2</v>
      </c>
      <c r="L315">
        <v>1.521344702590488E-2</v>
      </c>
      <c r="M315">
        <f t="shared" si="59"/>
        <v>3.4546106992562997E-2</v>
      </c>
      <c r="N315">
        <f t="shared" si="67"/>
        <v>1.8969107919029199E-4</v>
      </c>
      <c r="O315">
        <v>1.5908353268517E-15</v>
      </c>
      <c r="P315">
        <v>1.8969107918870117E-4</v>
      </c>
      <c r="Q315">
        <v>0.99981030892080969</v>
      </c>
      <c r="R315">
        <f t="shared" si="60"/>
        <v>1</v>
      </c>
      <c r="S315">
        <f t="shared" si="61"/>
        <v>200</v>
      </c>
      <c r="T315">
        <v>0.19917563314813622</v>
      </c>
      <c r="U315">
        <f t="shared" si="68"/>
        <v>200.20273910872302</v>
      </c>
      <c r="V315">
        <f t="shared" si="62"/>
        <v>9.4845539595145995E-5</v>
      </c>
      <c r="W315">
        <f t="shared" si="69"/>
        <v>9.6542432726114E-5</v>
      </c>
    </row>
    <row r="316" spans="1:23">
      <c r="A316" s="2">
        <v>313</v>
      </c>
      <c r="B316" s="2">
        <v>91.083333300000007</v>
      </c>
      <c r="C316">
        <f t="shared" si="56"/>
        <v>0.40766729926499073</v>
      </c>
      <c r="D316" s="21">
        <v>1.36728837308632E-15</v>
      </c>
      <c r="E316">
        <f t="shared" si="57"/>
        <v>0.15142975233762959</v>
      </c>
      <c r="F316" s="22">
        <f t="shared" si="63"/>
        <v>1.36728837308632E-15</v>
      </c>
      <c r="G316">
        <f t="shared" si="64"/>
        <v>0.14052174350929503</v>
      </c>
      <c r="H316" s="21">
        <v>1.8313592690633301E-4</v>
      </c>
      <c r="I316">
        <f t="shared" si="58"/>
        <v>3.516820284950084E-2</v>
      </c>
      <c r="J316" s="22">
        <f t="shared" si="65"/>
        <v>1.8313592690633301E-4</v>
      </c>
      <c r="K316">
        <f t="shared" si="66"/>
        <v>3.4556987666157224E-2</v>
      </c>
      <c r="L316">
        <v>1.521344702590488E-2</v>
      </c>
      <c r="M316">
        <f t="shared" si="59"/>
        <v>3.4556987666157224E-2</v>
      </c>
      <c r="N316">
        <f t="shared" si="67"/>
        <v>1.8313592690633301E-4</v>
      </c>
      <c r="O316">
        <v>1.36728837308632E-15</v>
      </c>
      <c r="P316">
        <v>1.8313592690496572E-4</v>
      </c>
      <c r="Q316">
        <v>0.99981686407309367</v>
      </c>
      <c r="R316">
        <f t="shared" si="60"/>
        <v>1</v>
      </c>
      <c r="S316">
        <f t="shared" si="61"/>
        <v>200</v>
      </c>
      <c r="T316">
        <v>0.19229272325021401</v>
      </c>
      <c r="U316">
        <f t="shared" si="68"/>
        <v>200.19573417819916</v>
      </c>
      <c r="V316">
        <f t="shared" si="62"/>
        <v>9.1567963453166503E-5</v>
      </c>
      <c r="W316">
        <f t="shared" si="69"/>
        <v>9.3206751524156249E-5</v>
      </c>
    </row>
    <row r="317" spans="1:23">
      <c r="A317" s="2">
        <v>314</v>
      </c>
      <c r="B317" s="2">
        <v>91.166666699999993</v>
      </c>
      <c r="C317">
        <f t="shared" si="56"/>
        <v>0.40650027813718248</v>
      </c>
      <c r="D317" s="21">
        <v>1.17504088778807E-15</v>
      </c>
      <c r="E317">
        <f t="shared" si="57"/>
        <v>0.15152654363141344</v>
      </c>
      <c r="F317" s="22">
        <f t="shared" si="63"/>
        <v>1.17504088778807E-15</v>
      </c>
      <c r="G317">
        <f t="shared" si="64"/>
        <v>0.14060492949581527</v>
      </c>
      <c r="H317" s="21">
        <v>1.76805314049694E-4</v>
      </c>
      <c r="I317">
        <f t="shared" si="58"/>
        <v>3.5179440510276452E-2</v>
      </c>
      <c r="J317" s="22">
        <f t="shared" si="65"/>
        <v>1.76805314049694E-4</v>
      </c>
      <c r="K317">
        <f t="shared" si="66"/>
        <v>3.4567836926267748E-2</v>
      </c>
      <c r="L317">
        <v>1.521344702590488E-2</v>
      </c>
      <c r="M317">
        <f t="shared" si="59"/>
        <v>3.4567836926267748E-2</v>
      </c>
      <c r="N317">
        <f t="shared" si="67"/>
        <v>1.76805314049694E-4</v>
      </c>
      <c r="O317">
        <v>1.17504088778807E-15</v>
      </c>
      <c r="P317">
        <v>1.7680531404851897E-4</v>
      </c>
      <c r="Q317">
        <v>0.99982319468595027</v>
      </c>
      <c r="R317">
        <f t="shared" si="60"/>
        <v>1</v>
      </c>
      <c r="S317">
        <f t="shared" si="61"/>
        <v>200</v>
      </c>
      <c r="T317">
        <v>0.18564557975094492</v>
      </c>
      <c r="U317">
        <f t="shared" si="68"/>
        <v>200.18896915150057</v>
      </c>
      <c r="V317">
        <f t="shared" si="62"/>
        <v>8.8402657024847002E-5</v>
      </c>
      <c r="W317">
        <f t="shared" si="69"/>
        <v>8.9985310239006753E-5</v>
      </c>
    </row>
    <row r="318" spans="1:23">
      <c r="A318" s="2">
        <v>315</v>
      </c>
      <c r="B318" s="2">
        <v>91.25</v>
      </c>
      <c r="C318">
        <f t="shared" si="56"/>
        <v>0.40533659781771275</v>
      </c>
      <c r="D318" s="21">
        <v>1.0097268582118901E-15</v>
      </c>
      <c r="E318">
        <f t="shared" si="57"/>
        <v>0.15162308824378209</v>
      </c>
      <c r="F318" s="22">
        <f t="shared" si="63"/>
        <v>1.0097268582118901E-15</v>
      </c>
      <c r="G318">
        <f t="shared" si="64"/>
        <v>0.14068789545474603</v>
      </c>
      <c r="H318" s="21">
        <v>1.7069162409948899E-4</v>
      </c>
      <c r="I318">
        <f t="shared" si="58"/>
        <v>3.5190645955953719E-2</v>
      </c>
      <c r="J318" s="22">
        <f t="shared" si="65"/>
        <v>1.7069162409948899E-4</v>
      </c>
      <c r="K318">
        <f t="shared" si="66"/>
        <v>3.457865496331558E-2</v>
      </c>
      <c r="L318">
        <v>1.521344702590488E-2</v>
      </c>
      <c r="M318">
        <f t="shared" si="59"/>
        <v>3.457865496331558E-2</v>
      </c>
      <c r="N318">
        <f t="shared" si="67"/>
        <v>1.7069162409948899E-4</v>
      </c>
      <c r="O318">
        <v>1.0097268582118901E-15</v>
      </c>
      <c r="P318">
        <v>1.7069162409847927E-4</v>
      </c>
      <c r="Q318">
        <v>0.99982930837590056</v>
      </c>
      <c r="R318">
        <f t="shared" si="60"/>
        <v>1</v>
      </c>
      <c r="S318">
        <f t="shared" si="61"/>
        <v>200</v>
      </c>
      <c r="T318">
        <v>0.17922620530340325</v>
      </c>
      <c r="U318">
        <f t="shared" si="68"/>
        <v>200.18243589252717</v>
      </c>
      <c r="V318">
        <f t="shared" si="62"/>
        <v>8.5345812049744495E-5</v>
      </c>
      <c r="W318">
        <f t="shared" si="69"/>
        <v>8.6874234537295749E-5</v>
      </c>
    </row>
    <row r="319" spans="1:23">
      <c r="A319" s="2">
        <v>316</v>
      </c>
      <c r="B319" s="2">
        <v>91.333333300000007</v>
      </c>
      <c r="C319">
        <f t="shared" si="56"/>
        <v>0.40417624874291541</v>
      </c>
      <c r="D319" s="21">
        <v>8.6758695947052496E-16</v>
      </c>
      <c r="E319">
        <f t="shared" si="57"/>
        <v>0.15171938758478673</v>
      </c>
      <c r="F319" s="22">
        <f t="shared" si="63"/>
        <v>8.6758695947052496E-16</v>
      </c>
      <c r="G319">
        <f t="shared" si="64"/>
        <v>0.14077064265981643</v>
      </c>
      <c r="H319" s="21">
        <v>1.6478749607361999E-4</v>
      </c>
      <c r="I319">
        <f t="shared" si="58"/>
        <v>3.5201819380892875E-2</v>
      </c>
      <c r="J319" s="22">
        <f t="shared" si="65"/>
        <v>1.6478749607361999E-4</v>
      </c>
      <c r="K319">
        <f t="shared" si="66"/>
        <v>3.4589441965985013E-2</v>
      </c>
      <c r="L319">
        <v>1.521344702590488E-2</v>
      </c>
      <c r="M319">
        <f t="shared" si="59"/>
        <v>3.4589441965985013E-2</v>
      </c>
      <c r="N319">
        <f t="shared" si="67"/>
        <v>1.6478749607361999E-4</v>
      </c>
      <c r="O319">
        <v>8.6758695947052496E-16</v>
      </c>
      <c r="P319">
        <v>1.6478749607275241E-4</v>
      </c>
      <c r="Q319">
        <v>0.99983521250392637</v>
      </c>
      <c r="R319">
        <f t="shared" si="60"/>
        <v>1</v>
      </c>
      <c r="S319">
        <f t="shared" si="61"/>
        <v>200</v>
      </c>
      <c r="T319">
        <v>0.17302687087639002</v>
      </c>
      <c r="U319">
        <f t="shared" si="68"/>
        <v>200.17612653808987</v>
      </c>
      <c r="V319">
        <f t="shared" si="62"/>
        <v>8.2393748036809993E-5</v>
      </c>
      <c r="W319">
        <f t="shared" si="69"/>
        <v>8.3869780043277237E-5</v>
      </c>
    </row>
    <row r="320" spans="1:23">
      <c r="A320" s="2">
        <v>317</v>
      </c>
      <c r="B320" s="2">
        <v>91.416666699999993</v>
      </c>
      <c r="C320">
        <f t="shared" si="56"/>
        <v>0.40301922137650253</v>
      </c>
      <c r="D320" s="21">
        <v>7.4538458391928596E-16</v>
      </c>
      <c r="E320">
        <f t="shared" si="57"/>
        <v>0.15181544305203037</v>
      </c>
      <c r="F320" s="22">
        <f t="shared" si="63"/>
        <v>7.4538458391928596E-16</v>
      </c>
      <c r="G320">
        <f t="shared" si="64"/>
        <v>0.14085317237342665</v>
      </c>
      <c r="H320" s="21">
        <v>1.5908581606157801E-4</v>
      </c>
      <c r="I320">
        <f t="shared" si="58"/>
        <v>3.5212960977631567E-2</v>
      </c>
      <c r="J320" s="22">
        <f t="shared" si="65"/>
        <v>1.5908581606157801E-4</v>
      </c>
      <c r="K320">
        <f t="shared" si="66"/>
        <v>3.4600198121189418E-2</v>
      </c>
      <c r="L320">
        <v>1.521344702590488E-2</v>
      </c>
      <c r="M320">
        <f t="shared" si="59"/>
        <v>3.4600198121189418E-2</v>
      </c>
      <c r="N320">
        <f t="shared" si="67"/>
        <v>1.5908581606157801E-4</v>
      </c>
      <c r="O320">
        <v>7.4538458391928596E-16</v>
      </c>
      <c r="P320">
        <v>1.5908581606083262E-4</v>
      </c>
      <c r="Q320">
        <v>0.99984091418393839</v>
      </c>
      <c r="R320">
        <f t="shared" si="60"/>
        <v>1</v>
      </c>
      <c r="S320">
        <f t="shared" si="61"/>
        <v>200</v>
      </c>
      <c r="T320">
        <v>0.16704010686387424</v>
      </c>
      <c r="U320">
        <f t="shared" si="68"/>
        <v>200.17003348887013</v>
      </c>
      <c r="V320">
        <f t="shared" si="62"/>
        <v>7.9542908030789006E-5</v>
      </c>
      <c r="W320">
        <f t="shared" si="69"/>
        <v>8.0968328033799507E-5</v>
      </c>
    </row>
    <row r="321" spans="1:23">
      <c r="A321" s="2">
        <v>318</v>
      </c>
      <c r="B321" s="2">
        <v>91.5</v>
      </c>
      <c r="C321">
        <f t="shared" si="56"/>
        <v>0.40186550620948458</v>
      </c>
      <c r="D321" s="21">
        <v>6.4033344544199301E-16</v>
      </c>
      <c r="E321">
        <f t="shared" si="57"/>
        <v>0.15191125603070035</v>
      </c>
      <c r="F321" s="22">
        <f t="shared" si="63"/>
        <v>6.4033344544199301E-16</v>
      </c>
      <c r="G321">
        <f t="shared" si="64"/>
        <v>0.14093548584668392</v>
      </c>
      <c r="H321" s="21">
        <v>1.5357970903377301E-4</v>
      </c>
      <c r="I321">
        <f t="shared" si="58"/>
        <v>3.5224070936985881E-2</v>
      </c>
      <c r="J321" s="22">
        <f t="shared" si="65"/>
        <v>1.5357970903377301E-4</v>
      </c>
      <c r="K321">
        <f t="shared" si="66"/>
        <v>3.4610923614168954E-2</v>
      </c>
      <c r="L321">
        <v>1.521344702590488E-2</v>
      </c>
      <c r="M321">
        <f t="shared" si="59"/>
        <v>3.4610923614168954E-2</v>
      </c>
      <c r="N321">
        <f t="shared" si="67"/>
        <v>1.5357970903377301E-4</v>
      </c>
      <c r="O321">
        <v>6.4033344544199301E-16</v>
      </c>
      <c r="P321">
        <v>1.5357970903313268E-4</v>
      </c>
      <c r="Q321">
        <v>0.99984642029096626</v>
      </c>
      <c r="R321">
        <f t="shared" si="60"/>
        <v>1</v>
      </c>
      <c r="S321">
        <f t="shared" si="61"/>
        <v>200</v>
      </c>
      <c r="T321">
        <v>0.1612586944847893</v>
      </c>
      <c r="U321">
        <f t="shared" si="68"/>
        <v>200.16414940067432</v>
      </c>
      <c r="V321">
        <f t="shared" si="62"/>
        <v>7.6789854516886503E-5</v>
      </c>
      <c r="W321">
        <f t="shared" si="69"/>
        <v>7.8166381273837762E-5</v>
      </c>
    </row>
    <row r="322" spans="1:23">
      <c r="A322" s="2">
        <v>319</v>
      </c>
      <c r="B322" s="2">
        <v>91.583333300000007</v>
      </c>
      <c r="C322">
        <f t="shared" si="56"/>
        <v>0.40071509376009395</v>
      </c>
      <c r="D322" s="21">
        <v>5.5003516980669904E-16</v>
      </c>
      <c r="E322">
        <f t="shared" si="57"/>
        <v>0.15200682789382086</v>
      </c>
      <c r="F322" s="22">
        <f t="shared" si="63"/>
        <v>5.5003516980669904E-16</v>
      </c>
      <c r="G322">
        <f t="shared" si="64"/>
        <v>0.14101758431962774</v>
      </c>
      <c r="H322" s="21">
        <v>1.48262530918537E-4</v>
      </c>
      <c r="I322">
        <f t="shared" si="58"/>
        <v>3.5235149448010893E-2</v>
      </c>
      <c r="J322" s="22">
        <f t="shared" si="65"/>
        <v>1.48262530918537E-4</v>
      </c>
      <c r="K322">
        <f t="shared" si="66"/>
        <v>3.4621618628452588E-2</v>
      </c>
      <c r="L322">
        <v>1.521344702590488E-2</v>
      </c>
      <c r="M322">
        <f t="shared" si="59"/>
        <v>3.4621618628452588E-2</v>
      </c>
      <c r="N322">
        <f t="shared" si="67"/>
        <v>1.48262530918537E-4</v>
      </c>
      <c r="O322">
        <v>5.5003516980669904E-16</v>
      </c>
      <c r="P322">
        <v>1.4826253091798695E-4</v>
      </c>
      <c r="Q322">
        <v>0.99985173746908151</v>
      </c>
      <c r="R322">
        <f t="shared" si="60"/>
        <v>1</v>
      </c>
      <c r="S322">
        <f t="shared" si="61"/>
        <v>200</v>
      </c>
      <c r="T322">
        <v>0.15567565746388631</v>
      </c>
      <c r="U322">
        <f t="shared" si="68"/>
        <v>200.15846717597435</v>
      </c>
      <c r="V322">
        <f t="shared" si="62"/>
        <v>7.4131265459268498E-5</v>
      </c>
      <c r="W322">
        <f t="shared" si="69"/>
        <v>7.5460559988077501E-5</v>
      </c>
    </row>
    <row r="323" spans="1:23">
      <c r="A323" s="2">
        <v>320</v>
      </c>
      <c r="B323" s="2">
        <v>91.666666699999993</v>
      </c>
      <c r="C323">
        <f t="shared" ref="C323:C363" si="70">1/(1+Disc_rate_per_cyc)^$A323</f>
        <v>0.3995679745737063</v>
      </c>
      <c r="D323" s="21">
        <v>4.7242549940392495E-16</v>
      </c>
      <c r="E323">
        <f t="shared" si="57"/>
        <v>0.1521021600023427</v>
      </c>
      <c r="F323" s="22">
        <f t="shared" si="63"/>
        <v>4.7242549940392495E-16</v>
      </c>
      <c r="G323">
        <f t="shared" si="64"/>
        <v>0.14109946902131509</v>
      </c>
      <c r="H323" s="21">
        <v>1.43127860938184E-4</v>
      </c>
      <c r="I323">
        <f t="shared" si="58"/>
        <v>3.5246196698057605E-2</v>
      </c>
      <c r="J323" s="22">
        <f t="shared" si="65"/>
        <v>1.43127860938184E-4</v>
      </c>
      <c r="K323">
        <f t="shared" si="66"/>
        <v>3.4632283345913284E-2</v>
      </c>
      <c r="L323">
        <v>1.521344702590488E-2</v>
      </c>
      <c r="M323">
        <f t="shared" si="59"/>
        <v>3.4632283345913284E-2</v>
      </c>
      <c r="N323">
        <f t="shared" si="67"/>
        <v>1.43127860938184E-4</v>
      </c>
      <c r="O323">
        <v>4.7242549940392495E-16</v>
      </c>
      <c r="P323">
        <v>1.4312786093771158E-4</v>
      </c>
      <c r="Q323">
        <v>0.99985687213906183</v>
      </c>
      <c r="R323">
        <f t="shared" si="60"/>
        <v>1</v>
      </c>
      <c r="S323">
        <f t="shared" si="61"/>
        <v>200</v>
      </c>
      <c r="T323">
        <v>0.15028425398459716</v>
      </c>
      <c r="U323">
        <f t="shared" si="68"/>
        <v>200.15297995572425</v>
      </c>
      <c r="V323">
        <f t="shared" si="62"/>
        <v>7.1563930469091999E-5</v>
      </c>
      <c r="W323">
        <f t="shared" si="69"/>
        <v>7.2847597964180249E-5</v>
      </c>
    </row>
    <row r="324" spans="1:23">
      <c r="A324" s="2">
        <v>321</v>
      </c>
      <c r="B324" s="2">
        <v>91.75</v>
      </c>
      <c r="C324">
        <f t="shared" si="70"/>
        <v>0.39842413922276249</v>
      </c>
      <c r="D324" s="21">
        <v>4.0572792828027599E-16</v>
      </c>
      <c r="E324">
        <f t="shared" ref="E324:E363" si="71">-LN(D324/D323)*psa_hrscl_pfs_VtUs</f>
        <v>0.15219725370533263</v>
      </c>
      <c r="F324" s="22">
        <f t="shared" si="63"/>
        <v>4.0572792828027599E-16</v>
      </c>
      <c r="G324">
        <f t="shared" si="64"/>
        <v>0.14118114116999081</v>
      </c>
      <c r="H324" s="21">
        <v>1.3816949419581101E-4</v>
      </c>
      <c r="I324">
        <f t="shared" ref="I324:I363" si="72">-LN(H324/H323)*PSA_trtHRsclr_os_VtUs</f>
        <v>3.5257212872737094E-2</v>
      </c>
      <c r="J324" s="22">
        <f t="shared" si="65"/>
        <v>1.3816949419581101E-4</v>
      </c>
      <c r="K324">
        <f t="shared" si="66"/>
        <v>3.4642917946733465E-2</v>
      </c>
      <c r="L324">
        <v>1.521344702590488E-2</v>
      </c>
      <c r="M324">
        <f t="shared" ref="M324:M363" si="73">MAX(K324:L324)</f>
        <v>3.4642917946733465E-2</v>
      </c>
      <c r="N324">
        <f t="shared" si="67"/>
        <v>1.3816949419581101E-4</v>
      </c>
      <c r="O324">
        <v>4.0572792828027599E-16</v>
      </c>
      <c r="P324">
        <v>1.3816949419540527E-4</v>
      </c>
      <c r="Q324">
        <v>0.99986183050580424</v>
      </c>
      <c r="R324">
        <f t="shared" ref="R324:R363" si="74">SUM(O324:Q324)</f>
        <v>1</v>
      </c>
      <c r="S324">
        <f t="shared" ref="S324:S363" si="75">IF(A324&lt;24,O324*trt_lst_price*(1-trt_pas_disc),Mntr_Adm_cst_VtUs)</f>
        <v>200</v>
      </c>
      <c r="T324">
        <v>0.14507796890517555</v>
      </c>
      <c r="U324">
        <f t="shared" si="68"/>
        <v>200.14768111144488</v>
      </c>
      <c r="V324">
        <f t="shared" ref="V324:V363" si="76">IF(A323&lt;=3,pd_ulty_VtUs-Utlty_AE_Disutlt,pd_ulty_VtUs)*O324+pd_ulty_VtUs*P324</f>
        <v>6.9084747097905504E-5</v>
      </c>
      <c r="W324">
        <f t="shared" si="69"/>
        <v>7.0324338783498758E-5</v>
      </c>
    </row>
    <row r="325" spans="1:23">
      <c r="A325" s="2">
        <v>322</v>
      </c>
      <c r="B325" s="2">
        <v>91.833333300000007</v>
      </c>
      <c r="C325">
        <f t="shared" si="70"/>
        <v>0.39728357830669164</v>
      </c>
      <c r="D325" s="21">
        <v>3.4841374543822199E-16</v>
      </c>
      <c r="E325">
        <f t="shared" si="71"/>
        <v>0.1522921103400558</v>
      </c>
      <c r="F325" s="22">
        <f t="shared" ref="F325:F363" si="77">D324*EXP(-E325)</f>
        <v>3.4841374543822199E-16</v>
      </c>
      <c r="G325">
        <f t="shared" ref="G325:G363" si="78">1-D325/D324</f>
        <v>0.14126260197316631</v>
      </c>
      <c r="H325" s="21">
        <v>1.3338143450475001E-4</v>
      </c>
      <c r="I325">
        <f t="shared" si="72"/>
        <v>3.5268198156043241E-2</v>
      </c>
      <c r="J325" s="22">
        <f t="shared" ref="J325:J363" si="79">H324*EXP(-I325)</f>
        <v>1.3338143450475001E-4</v>
      </c>
      <c r="K325">
        <f t="shared" ref="K325:K363" si="80">1-J325/J324</f>
        <v>3.4653522609523701E-2</v>
      </c>
      <c r="L325">
        <v>1.521344702590488E-2</v>
      </c>
      <c r="M325">
        <f t="shared" si="73"/>
        <v>3.4653522609523701E-2</v>
      </c>
      <c r="N325">
        <f t="shared" ref="N325:N363" si="81">N324*(1-M325)</f>
        <v>1.3338143450475001E-4</v>
      </c>
      <c r="O325">
        <v>3.4841374543822199E-16</v>
      </c>
      <c r="P325">
        <v>1.333814345044016E-4</v>
      </c>
      <c r="Q325">
        <v>0.9998666185654953</v>
      </c>
      <c r="R325">
        <f t="shared" si="74"/>
        <v>1</v>
      </c>
      <c r="S325">
        <f t="shared" si="75"/>
        <v>200</v>
      </c>
      <c r="T325">
        <v>0.14005050622962167</v>
      </c>
      <c r="U325">
        <f t="shared" ref="U325:U363" si="82">(S325+T325+S324+T324)/2</f>
        <v>200.1425642375674</v>
      </c>
      <c r="V325">
        <f t="shared" si="76"/>
        <v>6.6690717252375006E-5</v>
      </c>
      <c r="W325">
        <f t="shared" si="69"/>
        <v>6.7887732175140255E-5</v>
      </c>
    </row>
    <row r="326" spans="1:23">
      <c r="A326" s="2">
        <v>323</v>
      </c>
      <c r="B326" s="2">
        <v>91.916666699999993</v>
      </c>
      <c r="C326">
        <f t="shared" si="70"/>
        <v>0.39614628245183364</v>
      </c>
      <c r="D326" s="21">
        <v>2.9916760434951001E-16</v>
      </c>
      <c r="E326">
        <f t="shared" si="71"/>
        <v>0.15238673123215052</v>
      </c>
      <c r="F326" s="22">
        <f t="shared" si="77"/>
        <v>2.9916760434951001E-16</v>
      </c>
      <c r="G326">
        <f t="shared" si="78"/>
        <v>0.14134385262777738</v>
      </c>
      <c r="H326" s="21">
        <v>1.2875788745288699E-4</v>
      </c>
      <c r="I326">
        <f t="shared" si="72"/>
        <v>3.5279152730277083E-2</v>
      </c>
      <c r="J326" s="22">
        <f t="shared" si="79"/>
        <v>1.2875788745288699E-4</v>
      </c>
      <c r="K326">
        <f t="shared" si="80"/>
        <v>3.466409751124977E-2</v>
      </c>
      <c r="L326">
        <v>1.521344702590488E-2</v>
      </c>
      <c r="M326">
        <f t="shared" si="73"/>
        <v>3.466409751124977E-2</v>
      </c>
      <c r="N326">
        <f t="shared" si="81"/>
        <v>1.2875788745288699E-4</v>
      </c>
      <c r="O326">
        <v>2.9916760434951001E-16</v>
      </c>
      <c r="P326">
        <v>1.2875788745258783E-4</v>
      </c>
      <c r="Q326">
        <v>0.99987124211254708</v>
      </c>
      <c r="R326">
        <f t="shared" si="74"/>
        <v>1</v>
      </c>
      <c r="S326">
        <f t="shared" si="75"/>
        <v>200</v>
      </c>
      <c r="T326">
        <v>0.13519578182521721</v>
      </c>
      <c r="U326">
        <f t="shared" si="82"/>
        <v>200.13762314402743</v>
      </c>
      <c r="V326">
        <f t="shared" si="76"/>
        <v>6.4378943726443495E-5</v>
      </c>
      <c r="W326">
        <f t="shared" ref="W326:W363" si="83">(V325+V326)/2</f>
        <v>6.5534830489409244E-5</v>
      </c>
    </row>
    <row r="327" spans="1:23">
      <c r="A327" s="2">
        <v>324</v>
      </c>
      <c r="B327" s="2">
        <v>92</v>
      </c>
      <c r="C327">
        <f t="shared" si="70"/>
        <v>0.39501224231136239</v>
      </c>
      <c r="D327" s="21">
        <v>2.5685785752031799E-16</v>
      </c>
      <c r="E327">
        <f t="shared" si="71"/>
        <v>0.15248111769577483</v>
      </c>
      <c r="F327" s="22">
        <f t="shared" si="77"/>
        <v>2.5685785752031799E-16</v>
      </c>
      <c r="G327">
        <f t="shared" si="78"/>
        <v>0.14142489432031757</v>
      </c>
      <c r="H327" s="21">
        <v>1.24293253694261E-4</v>
      </c>
      <c r="I327">
        <f t="shared" si="72"/>
        <v>3.5290076776111803E-2</v>
      </c>
      <c r="J327" s="22">
        <f t="shared" si="79"/>
        <v>1.24293253694261E-4</v>
      </c>
      <c r="K327">
        <f t="shared" si="80"/>
        <v>3.4674642827295599E-2</v>
      </c>
      <c r="L327">
        <v>1.7178634761037537E-2</v>
      </c>
      <c r="M327">
        <f t="shared" si="73"/>
        <v>3.4674642827295599E-2</v>
      </c>
      <c r="N327">
        <f t="shared" si="81"/>
        <v>1.24293253694261E-4</v>
      </c>
      <c r="O327">
        <v>2.5685785752031799E-16</v>
      </c>
      <c r="P327">
        <v>1.2429325369400416E-4</v>
      </c>
      <c r="Q327">
        <v>0.99987570674630577</v>
      </c>
      <c r="R327">
        <f t="shared" si="74"/>
        <v>1</v>
      </c>
      <c r="S327">
        <f t="shared" si="75"/>
        <v>200</v>
      </c>
      <c r="T327">
        <v>0.13050791637870438</v>
      </c>
      <c r="U327">
        <f t="shared" si="82"/>
        <v>200.13285184910197</v>
      </c>
      <c r="V327">
        <f t="shared" si="76"/>
        <v>6.2146626847130502E-5</v>
      </c>
      <c r="W327">
        <f t="shared" si="83"/>
        <v>6.3262785286787005E-5</v>
      </c>
    </row>
    <row r="328" spans="1:23">
      <c r="A328" s="2">
        <v>325</v>
      </c>
      <c r="B328" s="2">
        <v>92.083333300000007</v>
      </c>
      <c r="C328">
        <f t="shared" si="70"/>
        <v>0.39388144856520846</v>
      </c>
      <c r="D328" s="21">
        <v>2.2051099934109301E-16</v>
      </c>
      <c r="E328">
        <f t="shared" si="71"/>
        <v>0.1525752710337199</v>
      </c>
      <c r="F328" s="22">
        <f t="shared" si="77"/>
        <v>2.2051099934109301E-16</v>
      </c>
      <c r="G328">
        <f t="shared" si="78"/>
        <v>0.14150572822694307</v>
      </c>
      <c r="H328" s="21">
        <v>1.19982122460628E-4</v>
      </c>
      <c r="I328">
        <f t="shared" si="72"/>
        <v>3.5300970472572073E-2</v>
      </c>
      <c r="J328" s="22">
        <f t="shared" si="79"/>
        <v>1.19982122460628E-4</v>
      </c>
      <c r="K328">
        <f t="shared" si="80"/>
        <v>3.46851587314434E-2</v>
      </c>
      <c r="L328">
        <v>1.7178634761037537E-2</v>
      </c>
      <c r="M328">
        <f t="shared" si="73"/>
        <v>3.46851587314434E-2</v>
      </c>
      <c r="N328">
        <f t="shared" si="81"/>
        <v>1.19982122460628E-4</v>
      </c>
      <c r="O328">
        <v>2.2051099934109301E-16</v>
      </c>
      <c r="P328">
        <v>1.1998212246040749E-4</v>
      </c>
      <c r="Q328">
        <v>0.99988001787753933</v>
      </c>
      <c r="R328">
        <f t="shared" si="74"/>
        <v>1</v>
      </c>
      <c r="S328">
        <f t="shared" si="75"/>
        <v>200</v>
      </c>
      <c r="T328">
        <v>0.12598122858342786</v>
      </c>
      <c r="U328">
        <f t="shared" si="82"/>
        <v>200.12824457248107</v>
      </c>
      <c r="V328">
        <f t="shared" si="76"/>
        <v>5.9991061230314E-5</v>
      </c>
      <c r="W328">
        <f t="shared" si="83"/>
        <v>6.1068844038722248E-5</v>
      </c>
    </row>
    <row r="329" spans="1:23">
      <c r="A329" s="2">
        <v>326</v>
      </c>
      <c r="B329" s="2">
        <v>92.166666699999993</v>
      </c>
      <c r="C329">
        <f t="shared" si="70"/>
        <v>0.392753891919983</v>
      </c>
      <c r="D329" s="21">
        <v>1.89289650593725E-16</v>
      </c>
      <c r="E329">
        <f t="shared" si="71"/>
        <v>0.15266919253755398</v>
      </c>
      <c r="F329" s="22">
        <f t="shared" si="77"/>
        <v>1.89289650593725E-16</v>
      </c>
      <c r="G329">
        <f t="shared" si="78"/>
        <v>0.14158635551360366</v>
      </c>
      <c r="H329" s="21">
        <v>1.15819265285875E-4</v>
      </c>
      <c r="I329">
        <f t="shared" si="72"/>
        <v>3.5311833997161285E-2</v>
      </c>
      <c r="J329" s="22">
        <f t="shared" si="79"/>
        <v>1.15819265285875E-4</v>
      </c>
      <c r="K329">
        <f t="shared" si="80"/>
        <v>3.4695645395996677E-2</v>
      </c>
      <c r="L329">
        <v>1.7178634761037537E-2</v>
      </c>
      <c r="M329">
        <f t="shared" si="73"/>
        <v>3.4695645395996677E-2</v>
      </c>
      <c r="N329">
        <f t="shared" si="81"/>
        <v>1.15819265285875E-4</v>
      </c>
      <c r="O329">
        <v>1.89289650593725E-16</v>
      </c>
      <c r="P329">
        <v>1.1581926528568571E-4</v>
      </c>
      <c r="Q329">
        <v>0.99988418073471408</v>
      </c>
      <c r="R329">
        <f t="shared" si="74"/>
        <v>1</v>
      </c>
      <c r="S329">
        <f t="shared" si="75"/>
        <v>200</v>
      </c>
      <c r="T329">
        <v>0.12161022854997</v>
      </c>
      <c r="U329">
        <f t="shared" si="82"/>
        <v>200.12379572856671</v>
      </c>
      <c r="V329">
        <f t="shared" si="76"/>
        <v>5.7909632642937499E-5</v>
      </c>
      <c r="W329">
        <f t="shared" si="83"/>
        <v>5.8950346936625746E-5</v>
      </c>
    </row>
    <row r="330" spans="1:23">
      <c r="A330" s="2">
        <v>327</v>
      </c>
      <c r="B330" s="2">
        <v>92.25</v>
      </c>
      <c r="C330">
        <f t="shared" si="70"/>
        <v>0.39162956310890118</v>
      </c>
      <c r="D330" s="21">
        <v>1.62473595811031E-16</v>
      </c>
      <c r="E330">
        <f t="shared" si="71"/>
        <v>0.15276288348770886</v>
      </c>
      <c r="F330" s="22">
        <f t="shared" si="77"/>
        <v>1.62473595811031E-16</v>
      </c>
      <c r="G330">
        <f t="shared" si="78"/>
        <v>0.14166677733612421</v>
      </c>
      <c r="H330" s="21">
        <v>1.11799629936447E-4</v>
      </c>
      <c r="I330">
        <f t="shared" si="72"/>
        <v>3.5322667525719165E-2</v>
      </c>
      <c r="J330" s="22">
        <f t="shared" si="79"/>
        <v>1.11799629936447E-4</v>
      </c>
      <c r="K330">
        <f t="shared" si="80"/>
        <v>3.4706102991642895E-2</v>
      </c>
      <c r="L330">
        <v>1.7178634761037537E-2</v>
      </c>
      <c r="M330">
        <f t="shared" si="73"/>
        <v>3.4706102991642895E-2</v>
      </c>
      <c r="N330">
        <f t="shared" si="81"/>
        <v>1.11799629936447E-4</v>
      </c>
      <c r="O330">
        <v>1.62473595811031E-16</v>
      </c>
      <c r="P330">
        <v>1.1179962993628454E-4</v>
      </c>
      <c r="Q330">
        <v>0.99988820037006354</v>
      </c>
      <c r="R330">
        <f t="shared" si="74"/>
        <v>1</v>
      </c>
      <c r="S330">
        <f t="shared" si="75"/>
        <v>200</v>
      </c>
      <c r="T330">
        <v>0.11738961143309877</v>
      </c>
      <c r="U330">
        <f t="shared" si="82"/>
        <v>200.11949991999154</v>
      </c>
      <c r="V330">
        <f t="shared" si="76"/>
        <v>5.5899814968223502E-5</v>
      </c>
      <c r="W330">
        <f t="shared" si="83"/>
        <v>5.6904723805580504E-5</v>
      </c>
    </row>
    <row r="331" spans="1:23">
      <c r="A331" s="2">
        <v>328</v>
      </c>
      <c r="B331" s="2">
        <v>92.333333300000007</v>
      </c>
      <c r="C331">
        <f t="shared" si="70"/>
        <v>0.39050845289170583</v>
      </c>
      <c r="D331" s="21">
        <v>1.39443451863901E-16</v>
      </c>
      <c r="E331">
        <f t="shared" si="71"/>
        <v>0.15285634515371752</v>
      </c>
      <c r="F331" s="22">
        <f t="shared" si="77"/>
        <v>1.39443451863901E-16</v>
      </c>
      <c r="G331">
        <f t="shared" si="78"/>
        <v>0.14174699484041575</v>
      </c>
      <c r="H331" s="21">
        <v>1.07918334541096E-4</v>
      </c>
      <c r="I331">
        <f t="shared" si="72"/>
        <v>3.5333471232577025E-2</v>
      </c>
      <c r="J331" s="22">
        <f t="shared" si="79"/>
        <v>1.07918334541096E-4</v>
      </c>
      <c r="K331">
        <f t="shared" si="80"/>
        <v>3.4716531687603469E-2</v>
      </c>
      <c r="L331">
        <v>1.7178634761037537E-2</v>
      </c>
      <c r="M331">
        <f t="shared" si="73"/>
        <v>3.4716531687603469E-2</v>
      </c>
      <c r="N331">
        <f t="shared" si="81"/>
        <v>1.07918334541096E-4</v>
      </c>
      <c r="O331">
        <v>1.39443451863901E-16</v>
      </c>
      <c r="P331">
        <v>1.0791833454095656E-4</v>
      </c>
      <c r="Q331">
        <v>0.99989208166545895</v>
      </c>
      <c r="R331">
        <f t="shared" si="74"/>
        <v>1</v>
      </c>
      <c r="S331">
        <f t="shared" si="75"/>
        <v>200</v>
      </c>
      <c r="T331">
        <v>0.11331425126800439</v>
      </c>
      <c r="U331">
        <f t="shared" si="82"/>
        <v>200.11535193135055</v>
      </c>
      <c r="V331">
        <f t="shared" si="76"/>
        <v>5.3959167270548002E-5</v>
      </c>
      <c r="W331">
        <f t="shared" si="83"/>
        <v>5.4929491119385748E-5</v>
      </c>
    </row>
    <row r="332" spans="1:23">
      <c r="A332" s="2">
        <v>329</v>
      </c>
      <c r="B332" s="2">
        <v>92.416666699999993</v>
      </c>
      <c r="C332">
        <f t="shared" si="70"/>
        <v>0.38939055205459167</v>
      </c>
      <c r="D332" s="21">
        <v>1.1966660413875201E-16</v>
      </c>
      <c r="E332">
        <f t="shared" si="71"/>
        <v>0.15294957879420817</v>
      </c>
      <c r="F332" s="22">
        <f t="shared" si="77"/>
        <v>1.1966660413875201E-16</v>
      </c>
      <c r="G332">
        <f t="shared" si="78"/>
        <v>0.14182700916247759</v>
      </c>
      <c r="H332" s="21">
        <v>1.04170661913536E-4</v>
      </c>
      <c r="I332">
        <f t="shared" si="72"/>
        <v>3.5344245290492515E-2</v>
      </c>
      <c r="J332" s="22">
        <f t="shared" si="79"/>
        <v>1.04170661913536E-4</v>
      </c>
      <c r="K332">
        <f t="shared" si="80"/>
        <v>3.4726931651570925E-2</v>
      </c>
      <c r="L332">
        <v>1.7178634761037537E-2</v>
      </c>
      <c r="M332">
        <f t="shared" si="73"/>
        <v>3.4726931651570925E-2</v>
      </c>
      <c r="N332">
        <f t="shared" si="81"/>
        <v>1.04170661913536E-4</v>
      </c>
      <c r="O332">
        <v>1.1966660413875201E-16</v>
      </c>
      <c r="P332">
        <v>1.0417066191341633E-4</v>
      </c>
      <c r="Q332">
        <v>0.99989582933808652</v>
      </c>
      <c r="R332">
        <f t="shared" si="74"/>
        <v>1</v>
      </c>
      <c r="S332">
        <f t="shared" si="75"/>
        <v>200</v>
      </c>
      <c r="T332">
        <v>0.10937919500908715</v>
      </c>
      <c r="U332">
        <f t="shared" si="82"/>
        <v>200.11134672313852</v>
      </c>
      <c r="V332">
        <f t="shared" si="76"/>
        <v>5.2085330956768E-5</v>
      </c>
      <c r="W332">
        <f t="shared" si="83"/>
        <v>5.3022249113658001E-5</v>
      </c>
    </row>
    <row r="333" spans="1:23">
      <c r="A333" s="2">
        <v>330</v>
      </c>
      <c r="B333" s="2">
        <v>92.5</v>
      </c>
      <c r="C333">
        <f t="shared" si="70"/>
        <v>0.38827585141012999</v>
      </c>
      <c r="D333" s="21">
        <v>1.02685096714264E-16</v>
      </c>
      <c r="E333">
        <f t="shared" si="71"/>
        <v>0.1530425856571633</v>
      </c>
      <c r="F333" s="22">
        <f t="shared" si="77"/>
        <v>1.02685096714264E-16</v>
      </c>
      <c r="G333">
        <f t="shared" si="78"/>
        <v>0.14190682142862643</v>
      </c>
      <c r="H333" s="21">
        <v>1.00552054061747E-4</v>
      </c>
      <c r="I333">
        <f t="shared" si="72"/>
        <v>3.5354989870746222E-2</v>
      </c>
      <c r="J333" s="22">
        <f t="shared" si="79"/>
        <v>1.00552054061747E-4</v>
      </c>
      <c r="K333">
        <f t="shared" si="80"/>
        <v>3.4737303049802271E-2</v>
      </c>
      <c r="L333">
        <v>1.7178634761037537E-2</v>
      </c>
      <c r="M333">
        <f t="shared" si="73"/>
        <v>3.4737303049802271E-2</v>
      </c>
      <c r="N333">
        <f t="shared" si="81"/>
        <v>1.00552054061747E-4</v>
      </c>
      <c r="O333">
        <v>1.02685096714264E-16</v>
      </c>
      <c r="P333">
        <v>1.0055205406164432E-4</v>
      </c>
      <c r="Q333">
        <v>0.99989944794593821</v>
      </c>
      <c r="R333">
        <f t="shared" si="74"/>
        <v>1</v>
      </c>
      <c r="S333">
        <f t="shared" si="75"/>
        <v>200</v>
      </c>
      <c r="T333">
        <v>0.10557965676472653</v>
      </c>
      <c r="U333">
        <f t="shared" si="82"/>
        <v>200.10747942588688</v>
      </c>
      <c r="V333">
        <f t="shared" si="76"/>
        <v>5.0276027030873502E-5</v>
      </c>
      <c r="W333">
        <f t="shared" si="83"/>
        <v>5.1180678993820751E-5</v>
      </c>
    </row>
    <row r="334" spans="1:23">
      <c r="A334" s="2">
        <v>331</v>
      </c>
      <c r="B334" s="2">
        <v>92.583333300000007</v>
      </c>
      <c r="C334">
        <f t="shared" si="70"/>
        <v>0.38716434179719228</v>
      </c>
      <c r="D334" s="21">
        <v>8.8105206134655005E-17</v>
      </c>
      <c r="E334">
        <f t="shared" si="71"/>
        <v>0.15313536697988328</v>
      </c>
      <c r="F334" s="22">
        <f t="shared" si="77"/>
        <v>8.8105206134655005E-17</v>
      </c>
      <c r="G334">
        <f t="shared" si="78"/>
        <v>0.14198643275547207</v>
      </c>
      <c r="H334" s="21">
        <v>9.70581068779057E-5</v>
      </c>
      <c r="I334">
        <f t="shared" si="72"/>
        <v>3.5365705143068825E-2</v>
      </c>
      <c r="J334" s="22">
        <f t="shared" si="79"/>
        <v>9.70581068779057E-5</v>
      </c>
      <c r="K334">
        <f t="shared" si="80"/>
        <v>3.474764604704883E-2</v>
      </c>
      <c r="L334">
        <v>1.7178634761037537E-2</v>
      </c>
      <c r="M334">
        <f t="shared" si="73"/>
        <v>3.474764604704883E-2</v>
      </c>
      <c r="N334">
        <f t="shared" si="81"/>
        <v>9.70581068779057E-5</v>
      </c>
      <c r="O334">
        <v>8.8105206134655005E-17</v>
      </c>
      <c r="P334">
        <v>9.7058106877817595E-5</v>
      </c>
      <c r="Q334">
        <v>0.99990294189312212</v>
      </c>
      <c r="R334">
        <f t="shared" si="74"/>
        <v>1</v>
      </c>
      <c r="S334">
        <f t="shared" si="75"/>
        <v>200</v>
      </c>
      <c r="T334">
        <v>0.10191101222170848</v>
      </c>
      <c r="U334">
        <f t="shared" si="82"/>
        <v>200.10374533449323</v>
      </c>
      <c r="V334">
        <f t="shared" si="76"/>
        <v>4.852905343895285E-5</v>
      </c>
      <c r="W334">
        <f t="shared" si="83"/>
        <v>4.9402540234913173E-5</v>
      </c>
    </row>
    <row r="335" spans="1:23">
      <c r="A335" s="2">
        <v>332</v>
      </c>
      <c r="B335" s="2">
        <v>92.666666699999993</v>
      </c>
      <c r="C335">
        <f t="shared" si="70"/>
        <v>0.3860560140808757</v>
      </c>
      <c r="D335" s="21">
        <v>7.5588465642299095E-17</v>
      </c>
      <c r="E335">
        <f t="shared" si="71"/>
        <v>0.15322792398928464</v>
      </c>
      <c r="F335" s="22">
        <f t="shared" si="77"/>
        <v>7.5588465642299095E-17</v>
      </c>
      <c r="G335">
        <f t="shared" si="78"/>
        <v>0.1420658442501801</v>
      </c>
      <c r="H335" s="21">
        <v>9.3684565003078401E-5</v>
      </c>
      <c r="I335">
        <f t="shared" si="72"/>
        <v>3.5376391275710482E-2</v>
      </c>
      <c r="J335" s="22">
        <f t="shared" si="79"/>
        <v>9.3684565003078401E-5</v>
      </c>
      <c r="K335">
        <f t="shared" si="80"/>
        <v>3.47579608066233E-2</v>
      </c>
      <c r="L335">
        <v>1.7178634761037537E-2</v>
      </c>
      <c r="M335">
        <f t="shared" si="73"/>
        <v>3.47579608066233E-2</v>
      </c>
      <c r="N335">
        <f t="shared" si="81"/>
        <v>9.3684565003078401E-5</v>
      </c>
      <c r="O335">
        <v>7.5588465642299095E-17</v>
      </c>
      <c r="P335">
        <v>9.3684565003002818E-5</v>
      </c>
      <c r="Q335">
        <v>0.99990631543499697</v>
      </c>
      <c r="R335">
        <f t="shared" si="74"/>
        <v>1</v>
      </c>
      <c r="S335">
        <f t="shared" si="75"/>
        <v>200</v>
      </c>
      <c r="T335">
        <v>9.8368793253152953E-2</v>
      </c>
      <c r="U335">
        <f t="shared" si="82"/>
        <v>200.10013990273742</v>
      </c>
      <c r="V335">
        <f t="shared" si="76"/>
        <v>4.68422825015392E-5</v>
      </c>
      <c r="W335">
        <f t="shared" si="83"/>
        <v>4.7685667970246025E-5</v>
      </c>
    </row>
    <row r="336" spans="1:23">
      <c r="A336" s="2">
        <v>333</v>
      </c>
      <c r="B336" s="2">
        <v>92.75</v>
      </c>
      <c r="C336">
        <f t="shared" si="70"/>
        <v>0.3849508591524276</v>
      </c>
      <c r="D336" s="21">
        <v>6.4843938884242004E-17</v>
      </c>
      <c r="E336">
        <f t="shared" si="71"/>
        <v>0.15332025790186743</v>
      </c>
      <c r="F336" s="22">
        <f t="shared" si="77"/>
        <v>6.4843938884242004E-17</v>
      </c>
      <c r="G336">
        <f t="shared" si="78"/>
        <v>0.14214505701045055</v>
      </c>
      <c r="H336" s="21">
        <v>9.0427316861018103E-5</v>
      </c>
      <c r="I336">
        <f t="shared" si="72"/>
        <v>3.5387048435471941E-2</v>
      </c>
      <c r="J336" s="22">
        <f t="shared" si="79"/>
        <v>9.0427316861018103E-5</v>
      </c>
      <c r="K336">
        <f t="shared" si="80"/>
        <v>3.4768247490429949E-2</v>
      </c>
      <c r="L336">
        <v>1.7178634761037537E-2</v>
      </c>
      <c r="M336">
        <f t="shared" si="73"/>
        <v>3.4768247490429949E-2</v>
      </c>
      <c r="N336">
        <f t="shared" si="81"/>
        <v>9.0427316861018103E-5</v>
      </c>
      <c r="O336">
        <v>6.4843938884242004E-17</v>
      </c>
      <c r="P336">
        <v>9.0427316860953254E-5</v>
      </c>
      <c r="Q336">
        <v>0.99990957268313896</v>
      </c>
      <c r="R336">
        <f t="shared" si="74"/>
        <v>1</v>
      </c>
      <c r="S336">
        <f t="shared" si="75"/>
        <v>200</v>
      </c>
      <c r="T336">
        <v>9.494868270400092E-2</v>
      </c>
      <c r="U336">
        <f t="shared" si="82"/>
        <v>200.09665873797857</v>
      </c>
      <c r="V336">
        <f t="shared" si="76"/>
        <v>4.5213658430509051E-5</v>
      </c>
      <c r="W336">
        <f t="shared" si="83"/>
        <v>4.6027970466024122E-5</v>
      </c>
    </row>
    <row r="337" spans="1:23">
      <c r="A337" s="2">
        <v>334</v>
      </c>
      <c r="B337" s="2">
        <v>92.833333300000007</v>
      </c>
      <c r="C337">
        <f t="shared" si="70"/>
        <v>0.38384886792917061</v>
      </c>
      <c r="D337" s="21">
        <v>5.5621569843518697E-17</v>
      </c>
      <c r="E337">
        <f t="shared" si="71"/>
        <v>0.15341236992394183</v>
      </c>
      <c r="F337" s="22">
        <f t="shared" si="77"/>
        <v>5.5621569843518697E-17</v>
      </c>
      <c r="G337">
        <f t="shared" si="78"/>
        <v>0.14222407212471899</v>
      </c>
      <c r="H337" s="21">
        <v>8.7282389855587004E-5</v>
      </c>
      <c r="I337">
        <f t="shared" si="72"/>
        <v>3.5397676787690756E-2</v>
      </c>
      <c r="J337" s="22">
        <f t="shared" si="79"/>
        <v>8.7282389855587004E-5</v>
      </c>
      <c r="K337">
        <f t="shared" si="80"/>
        <v>3.4778506258951403E-2</v>
      </c>
      <c r="L337">
        <v>1.7178634761037537E-2</v>
      </c>
      <c r="M337">
        <f t="shared" si="73"/>
        <v>3.4778506258951403E-2</v>
      </c>
      <c r="N337">
        <f t="shared" si="81"/>
        <v>8.7282389855587004E-5</v>
      </c>
      <c r="O337">
        <v>5.5621569843518697E-17</v>
      </c>
      <c r="P337">
        <v>8.7282389855531384E-5</v>
      </c>
      <c r="Q337">
        <v>0.99991271761014444</v>
      </c>
      <c r="R337">
        <f t="shared" si="74"/>
        <v>1</v>
      </c>
      <c r="S337">
        <f t="shared" si="75"/>
        <v>200</v>
      </c>
      <c r="T337">
        <v>9.1646509348307953E-2</v>
      </c>
      <c r="U337">
        <f t="shared" si="82"/>
        <v>200.09329759602613</v>
      </c>
      <c r="V337">
        <f t="shared" si="76"/>
        <v>4.3641194927793502E-5</v>
      </c>
      <c r="W337">
        <f t="shared" si="83"/>
        <v>4.442742667915128E-5</v>
      </c>
    </row>
    <row r="338" spans="1:23">
      <c r="A338" s="2">
        <v>335</v>
      </c>
      <c r="B338" s="2">
        <v>92.916666699999993</v>
      </c>
      <c r="C338">
        <f t="shared" si="70"/>
        <v>0.3827500313544287</v>
      </c>
      <c r="D338" s="21">
        <v>4.77064596710588E-17</v>
      </c>
      <c r="E338">
        <f t="shared" si="71"/>
        <v>0.1535042612517033</v>
      </c>
      <c r="F338" s="22">
        <f t="shared" si="77"/>
        <v>4.77064596710588E-17</v>
      </c>
      <c r="G338">
        <f t="shared" si="78"/>
        <v>0.14230289067222734</v>
      </c>
      <c r="H338" s="21">
        <v>8.4245945726492795E-5</v>
      </c>
      <c r="I338">
        <f t="shared" si="72"/>
        <v>3.5408276496258849E-2</v>
      </c>
      <c r="J338" s="22">
        <f t="shared" si="79"/>
        <v>8.4245945726492795E-5</v>
      </c>
      <c r="K338">
        <f t="shared" si="80"/>
        <v>3.4788737271265746E-2</v>
      </c>
      <c r="L338">
        <v>1.7178634761037537E-2</v>
      </c>
      <c r="M338">
        <f t="shared" si="73"/>
        <v>3.4788737271265746E-2</v>
      </c>
      <c r="N338">
        <f t="shared" si="81"/>
        <v>8.4245945726492795E-5</v>
      </c>
      <c r="O338">
        <v>4.77064596710588E-17</v>
      </c>
      <c r="P338">
        <v>8.4245945726445091E-5</v>
      </c>
      <c r="Q338">
        <v>0.99991575405427346</v>
      </c>
      <c r="R338">
        <f t="shared" si="74"/>
        <v>1</v>
      </c>
      <c r="S338">
        <f t="shared" si="75"/>
        <v>200</v>
      </c>
      <c r="T338">
        <v>8.8458243012767349E-2</v>
      </c>
      <c r="U338">
        <f t="shared" si="82"/>
        <v>200.09005237618055</v>
      </c>
      <c r="V338">
        <f t="shared" si="76"/>
        <v>4.2122972863246398E-5</v>
      </c>
      <c r="W338">
        <f t="shared" si="83"/>
        <v>4.2882083895519953E-5</v>
      </c>
    </row>
    <row r="339" spans="1:23">
      <c r="A339" s="2">
        <v>336</v>
      </c>
      <c r="B339" s="2">
        <v>93</v>
      </c>
      <c r="C339">
        <f t="shared" si="70"/>
        <v>0.38165434039745166</v>
      </c>
      <c r="D339" s="21">
        <v>4.0913941728723902E-17</v>
      </c>
      <c r="E339">
        <f t="shared" si="71"/>
        <v>0.15359593307130226</v>
      </c>
      <c r="F339" s="22">
        <f t="shared" si="77"/>
        <v>4.0913941728723902E-17</v>
      </c>
      <c r="G339">
        <f t="shared" si="78"/>
        <v>0.14238151372309005</v>
      </c>
      <c r="H339" s="21">
        <v>8.1314276058197204E-5</v>
      </c>
      <c r="I339">
        <f t="shared" si="72"/>
        <v>3.5418847723668184E-2</v>
      </c>
      <c r="J339" s="22">
        <f t="shared" si="79"/>
        <v>8.1314276058197204E-5</v>
      </c>
      <c r="K339">
        <f t="shared" si="80"/>
        <v>3.4798940685090707E-2</v>
      </c>
      <c r="L339">
        <v>1.9141780325788282E-2</v>
      </c>
      <c r="M339">
        <f t="shared" si="73"/>
        <v>3.4798940685090707E-2</v>
      </c>
      <c r="N339">
        <f t="shared" si="81"/>
        <v>8.1314276058197204E-5</v>
      </c>
      <c r="O339">
        <v>4.0913941728723902E-17</v>
      </c>
      <c r="P339">
        <v>8.1314276058156289E-5</v>
      </c>
      <c r="Q339">
        <v>0.99991868572394182</v>
      </c>
      <c r="R339">
        <f t="shared" si="74"/>
        <v>1</v>
      </c>
      <c r="S339">
        <f t="shared" si="75"/>
        <v>200</v>
      </c>
      <c r="T339">
        <v>8.5379989861064098E-2</v>
      </c>
      <c r="U339">
        <f t="shared" si="82"/>
        <v>200.08691911643692</v>
      </c>
      <c r="V339">
        <f t="shared" si="76"/>
        <v>4.0657138029098602E-5</v>
      </c>
      <c r="W339">
        <f t="shared" si="83"/>
        <v>4.1390055446172496E-5</v>
      </c>
    </row>
    <row r="340" spans="1:23">
      <c r="A340" s="2">
        <v>337</v>
      </c>
      <c r="B340" s="2">
        <v>93.083333300000007</v>
      </c>
      <c r="C340">
        <f t="shared" si="70"/>
        <v>0.38056178605334157</v>
      </c>
      <c r="D340" s="21">
        <v>3.5085343949210102E-17</v>
      </c>
      <c r="E340">
        <f t="shared" si="71"/>
        <v>0.15368738655904934</v>
      </c>
      <c r="F340" s="22">
        <f t="shared" si="77"/>
        <v>3.5085343949210102E-17</v>
      </c>
      <c r="G340">
        <f t="shared" si="78"/>
        <v>0.14245994233847659</v>
      </c>
      <c r="H340" s="21">
        <v>7.8483797937027298E-5</v>
      </c>
      <c r="I340">
        <f t="shared" si="72"/>
        <v>3.5429390630987878E-2</v>
      </c>
      <c r="J340" s="22">
        <f t="shared" si="79"/>
        <v>7.8483797937027298E-5</v>
      </c>
      <c r="K340">
        <f t="shared" si="80"/>
        <v>3.4809116656761674E-2</v>
      </c>
      <c r="L340">
        <v>1.9141780325788282E-2</v>
      </c>
      <c r="M340">
        <f t="shared" si="73"/>
        <v>3.4809116656761674E-2</v>
      </c>
      <c r="N340">
        <f t="shared" si="81"/>
        <v>7.8483797937027298E-5</v>
      </c>
      <c r="O340">
        <v>3.5085343949210102E-17</v>
      </c>
      <c r="P340">
        <v>7.8483797936992211E-5</v>
      </c>
      <c r="Q340">
        <v>0.99992151620206293</v>
      </c>
      <c r="R340">
        <f t="shared" si="74"/>
        <v>1</v>
      </c>
      <c r="S340">
        <f t="shared" si="75"/>
        <v>200</v>
      </c>
      <c r="T340">
        <v>8.2407987833841817E-2</v>
      </c>
      <c r="U340">
        <f t="shared" si="82"/>
        <v>200.08389398884745</v>
      </c>
      <c r="V340">
        <f t="shared" si="76"/>
        <v>3.9241898968513649E-5</v>
      </c>
      <c r="W340">
        <f t="shared" si="83"/>
        <v>3.9949518498806126E-5</v>
      </c>
    </row>
    <row r="341" spans="1:23">
      <c r="A341" s="2">
        <v>338</v>
      </c>
      <c r="B341" s="2">
        <v>93.166666699999993</v>
      </c>
      <c r="C341">
        <f t="shared" si="70"/>
        <v>0.37947235934297896</v>
      </c>
      <c r="D341" s="21">
        <v>3.0084342963250198E-17</v>
      </c>
      <c r="E341">
        <f t="shared" si="71"/>
        <v>0.15377862288145541</v>
      </c>
      <c r="F341" s="22">
        <f t="shared" si="77"/>
        <v>3.0084342963250198E-17</v>
      </c>
      <c r="G341">
        <f t="shared" si="78"/>
        <v>0.14253817757065179</v>
      </c>
      <c r="H341" s="21">
        <v>7.5751049751666695E-5</v>
      </c>
      <c r="I341">
        <f t="shared" si="72"/>
        <v>3.5439905377912015E-2</v>
      </c>
      <c r="J341" s="22">
        <f t="shared" si="79"/>
        <v>7.5751049751666695E-5</v>
      </c>
      <c r="K341">
        <f t="shared" si="80"/>
        <v>3.4819265341277994E-2</v>
      </c>
      <c r="L341">
        <v>1.9141780325788282E-2</v>
      </c>
      <c r="M341">
        <f t="shared" si="73"/>
        <v>3.4819265341277994E-2</v>
      </c>
      <c r="N341">
        <f t="shared" si="81"/>
        <v>7.5751049751666695E-5</v>
      </c>
      <c r="O341">
        <v>3.0084342963250198E-17</v>
      </c>
      <c r="P341">
        <v>7.5751049751636608E-5</v>
      </c>
      <c r="Q341">
        <v>0.99992424895024834</v>
      </c>
      <c r="R341">
        <f t="shared" si="74"/>
        <v>1</v>
      </c>
      <c r="S341">
        <f t="shared" si="75"/>
        <v>200</v>
      </c>
      <c r="T341">
        <v>7.9538602239218437E-2</v>
      </c>
      <c r="U341">
        <f t="shared" si="82"/>
        <v>200.08097329503653</v>
      </c>
      <c r="V341">
        <f t="shared" si="76"/>
        <v>3.7875524875833347E-5</v>
      </c>
      <c r="W341">
        <f t="shared" si="83"/>
        <v>3.8558711922173495E-5</v>
      </c>
    </row>
    <row r="342" spans="1:23">
      <c r="A342" s="2">
        <v>339</v>
      </c>
      <c r="B342" s="2">
        <v>93.25</v>
      </c>
      <c r="C342">
        <f t="shared" si="70"/>
        <v>0.37838605131294806</v>
      </c>
      <c r="D342" s="21">
        <v>2.5793827674715801E-17</v>
      </c>
      <c r="E342">
        <f t="shared" si="71"/>
        <v>0.15386964319536875</v>
      </c>
      <c r="F342" s="22">
        <f t="shared" si="77"/>
        <v>2.5793827674715801E-17</v>
      </c>
      <c r="G342">
        <f t="shared" si="78"/>
        <v>0.14261622046309985</v>
      </c>
      <c r="H342" s="21">
        <v>7.3112687132366794E-5</v>
      </c>
      <c r="I342">
        <f t="shared" si="72"/>
        <v>3.5450392122773358E-2</v>
      </c>
      <c r="J342" s="22">
        <f t="shared" si="79"/>
        <v>7.3112687132366794E-5</v>
      </c>
      <c r="K342">
        <f t="shared" si="80"/>
        <v>3.4829386892316294E-2</v>
      </c>
      <c r="L342">
        <v>1.9141780325788282E-2</v>
      </c>
      <c r="M342">
        <f t="shared" si="73"/>
        <v>3.4829386892316294E-2</v>
      </c>
      <c r="N342">
        <f t="shared" si="81"/>
        <v>7.3112687132366794E-5</v>
      </c>
      <c r="O342">
        <v>2.5793827674715801E-17</v>
      </c>
      <c r="P342">
        <v>7.3112687132341004E-5</v>
      </c>
      <c r="Q342">
        <v>0.99992688731286761</v>
      </c>
      <c r="R342">
        <f t="shared" si="74"/>
        <v>1</v>
      </c>
      <c r="S342">
        <f t="shared" si="75"/>
        <v>200</v>
      </c>
      <c r="T342">
        <v>7.6768321488958055E-2</v>
      </c>
      <c r="U342">
        <f t="shared" si="82"/>
        <v>200.0781534618641</v>
      </c>
      <c r="V342">
        <f t="shared" si="76"/>
        <v>3.6556343566183397E-5</v>
      </c>
      <c r="W342">
        <f t="shared" si="83"/>
        <v>3.7215934221008376E-5</v>
      </c>
    </row>
    <row r="343" spans="1:23">
      <c r="A343" s="2">
        <v>340</v>
      </c>
      <c r="B343" s="2">
        <v>93.333333300000007</v>
      </c>
      <c r="C343">
        <f t="shared" si="70"/>
        <v>0.37730285303546462</v>
      </c>
      <c r="D343" s="21">
        <v>2.21132013700382E-17</v>
      </c>
      <c r="E343">
        <f t="shared" si="71"/>
        <v>0.15396044864809924</v>
      </c>
      <c r="F343" s="22">
        <f t="shared" si="77"/>
        <v>2.21132013700382E-17</v>
      </c>
      <c r="G343">
        <f t="shared" si="78"/>
        <v>0.14269407205063667</v>
      </c>
      <c r="H343" s="21">
        <v>7.0565479024366099E-5</v>
      </c>
      <c r="I343">
        <f t="shared" si="72"/>
        <v>3.5460851022525414E-2</v>
      </c>
      <c r="J343" s="22">
        <f t="shared" si="79"/>
        <v>7.0565479024366099E-5</v>
      </c>
      <c r="K343">
        <f t="shared" si="80"/>
        <v>3.4839481462213273E-2</v>
      </c>
      <c r="L343">
        <v>1.9141780325788282E-2</v>
      </c>
      <c r="M343">
        <f t="shared" si="73"/>
        <v>3.4839481462213273E-2</v>
      </c>
      <c r="N343">
        <f t="shared" si="81"/>
        <v>7.0565479024366099E-5</v>
      </c>
      <c r="O343">
        <v>2.21132013700382E-17</v>
      </c>
      <c r="P343">
        <v>7.0565479024343981E-5</v>
      </c>
      <c r="Q343">
        <v>0.9999294345209756</v>
      </c>
      <c r="R343">
        <f t="shared" si="74"/>
        <v>1</v>
      </c>
      <c r="S343">
        <f t="shared" si="75"/>
        <v>200</v>
      </c>
      <c r="T343">
        <v>7.4093752975561186E-2</v>
      </c>
      <c r="U343">
        <f t="shared" si="82"/>
        <v>200.07543103723225</v>
      </c>
      <c r="V343">
        <f t="shared" si="76"/>
        <v>3.5282739512183049E-5</v>
      </c>
      <c r="W343">
        <f t="shared" si="83"/>
        <v>3.5919541539183227E-5</v>
      </c>
    </row>
    <row r="344" spans="1:23">
      <c r="A344" s="2">
        <v>341</v>
      </c>
      <c r="B344" s="2">
        <v>93.416666699999993</v>
      </c>
      <c r="C344">
        <f t="shared" si="70"/>
        <v>0.37622275560830126</v>
      </c>
      <c r="D344" s="21">
        <v>1.8956061280311599E-17</v>
      </c>
      <c r="E344">
        <f t="shared" si="71"/>
        <v>0.15405104037744136</v>
      </c>
      <c r="F344" s="22">
        <f t="shared" si="77"/>
        <v>1.8956061280311599E-17</v>
      </c>
      <c r="G344">
        <f t="shared" si="78"/>
        <v>0.1427717333594356</v>
      </c>
      <c r="H344" s="21">
        <v>6.8106303891142002E-5</v>
      </c>
      <c r="I344">
        <f t="shared" si="72"/>
        <v>3.5471282232803464E-2</v>
      </c>
      <c r="J344" s="22">
        <f t="shared" si="79"/>
        <v>6.8106303891142002E-5</v>
      </c>
      <c r="K344">
        <f t="shared" si="80"/>
        <v>3.4849549202024765E-2</v>
      </c>
      <c r="L344">
        <v>1.9141780325788282E-2</v>
      </c>
      <c r="M344">
        <f t="shared" si="73"/>
        <v>3.4849549202024765E-2</v>
      </c>
      <c r="N344">
        <f t="shared" si="81"/>
        <v>6.8106303891142002E-5</v>
      </c>
      <c r="O344">
        <v>1.8956061280311599E-17</v>
      </c>
      <c r="P344">
        <v>6.8106303891123042E-5</v>
      </c>
      <c r="Q344">
        <v>0.99993189369610891</v>
      </c>
      <c r="R344">
        <f t="shared" si="74"/>
        <v>1</v>
      </c>
      <c r="S344">
        <f t="shared" si="75"/>
        <v>200</v>
      </c>
      <c r="T344">
        <v>7.1511619085679198E-2</v>
      </c>
      <c r="U344">
        <f t="shared" si="82"/>
        <v>200.0728026860306</v>
      </c>
      <c r="V344">
        <f t="shared" si="76"/>
        <v>3.4053151945571001E-5</v>
      </c>
      <c r="W344">
        <f t="shared" si="83"/>
        <v>3.4667945728877025E-5</v>
      </c>
    </row>
    <row r="345" spans="1:23">
      <c r="A345" s="2">
        <v>342</v>
      </c>
      <c r="B345" s="2">
        <v>93.5</v>
      </c>
      <c r="C345">
        <f t="shared" si="70"/>
        <v>0.37514575015471507</v>
      </c>
      <c r="D345" s="21">
        <v>1.6248202988767699E-17</v>
      </c>
      <c r="E345">
        <f t="shared" si="71"/>
        <v>0.15414141951194221</v>
      </c>
      <c r="F345" s="22">
        <f t="shared" si="77"/>
        <v>1.6248202988767699E-17</v>
      </c>
      <c r="G345">
        <f t="shared" si="78"/>
        <v>0.1428492054072632</v>
      </c>
      <c r="H345" s="21">
        <v>6.5732146043270603E-5</v>
      </c>
      <c r="I345">
        <f t="shared" si="72"/>
        <v>3.5481685907912765E-2</v>
      </c>
      <c r="J345" s="22">
        <f t="shared" si="79"/>
        <v>6.5732146043270603E-5</v>
      </c>
      <c r="K345">
        <f t="shared" si="80"/>
        <v>3.4859590261514417E-2</v>
      </c>
      <c r="L345">
        <v>1.9141780325788282E-2</v>
      </c>
      <c r="M345">
        <f t="shared" si="73"/>
        <v>3.4859590261514417E-2</v>
      </c>
      <c r="N345">
        <f t="shared" si="81"/>
        <v>6.5732146043270603E-5</v>
      </c>
      <c r="O345">
        <v>1.6248202988767699E-17</v>
      </c>
      <c r="P345">
        <v>6.5732146043254354E-5</v>
      </c>
      <c r="Q345">
        <v>0.99993426785395678</v>
      </c>
      <c r="R345">
        <f t="shared" si="74"/>
        <v>1</v>
      </c>
      <c r="S345">
        <f t="shared" si="75"/>
        <v>200</v>
      </c>
      <c r="T345">
        <v>6.9018753345417072E-2</v>
      </c>
      <c r="U345">
        <f t="shared" si="82"/>
        <v>200.07026518621555</v>
      </c>
      <c r="V345">
        <f t="shared" si="76"/>
        <v>3.2866073021635302E-5</v>
      </c>
      <c r="W345">
        <f t="shared" si="83"/>
        <v>3.3459612483603148E-5</v>
      </c>
    </row>
    <row r="346" spans="1:23">
      <c r="A346" s="2">
        <v>343</v>
      </c>
      <c r="B346" s="2">
        <v>93.583333300000007</v>
      </c>
      <c r="C346">
        <f t="shared" si="70"/>
        <v>0.37407182782337423</v>
      </c>
      <c r="D346" s="21">
        <v>1.3925904379718701E-17</v>
      </c>
      <c r="E346">
        <f t="shared" si="71"/>
        <v>0.15423158717081972</v>
      </c>
      <c r="F346" s="22">
        <f t="shared" si="77"/>
        <v>1.3925904379718701E-17</v>
      </c>
      <c r="G346">
        <f t="shared" si="78"/>
        <v>0.14292648920341477</v>
      </c>
      <c r="H346" s="21">
        <v>6.3440092088797406E-5</v>
      </c>
      <c r="I346">
        <f t="shared" si="72"/>
        <v>3.5492062200850868E-2</v>
      </c>
      <c r="J346" s="22">
        <f t="shared" si="79"/>
        <v>6.3440092088797406E-5</v>
      </c>
      <c r="K346">
        <f t="shared" si="80"/>
        <v>3.4869604789175335E-2</v>
      </c>
      <c r="L346">
        <v>1.9141780325788282E-2</v>
      </c>
      <c r="M346">
        <f t="shared" si="73"/>
        <v>3.4869604789175335E-2</v>
      </c>
      <c r="N346">
        <f t="shared" si="81"/>
        <v>6.3440092088797406E-5</v>
      </c>
      <c r="O346">
        <v>1.3925904379718701E-17</v>
      </c>
      <c r="P346">
        <v>6.3440092088783474E-5</v>
      </c>
      <c r="Q346">
        <v>0.99993655990791119</v>
      </c>
      <c r="R346">
        <f t="shared" si="74"/>
        <v>1</v>
      </c>
      <c r="S346">
        <f t="shared" si="75"/>
        <v>200</v>
      </c>
      <c r="T346">
        <v>6.6612096693222642E-2</v>
      </c>
      <c r="U346">
        <f t="shared" si="82"/>
        <v>200.06781542501932</v>
      </c>
      <c r="V346">
        <f t="shared" si="76"/>
        <v>3.1720046044398703E-5</v>
      </c>
      <c r="W346">
        <f t="shared" si="83"/>
        <v>3.2293059533017002E-5</v>
      </c>
    </row>
    <row r="347" spans="1:23">
      <c r="A347" s="2">
        <v>344</v>
      </c>
      <c r="B347" s="2">
        <v>93.666666699999993</v>
      </c>
      <c r="C347">
        <f t="shared" si="70"/>
        <v>0.37300097978828578</v>
      </c>
      <c r="D347" s="21">
        <v>1.19344501186222E-17</v>
      </c>
      <c r="E347">
        <f t="shared" si="71"/>
        <v>0.15432154446420726</v>
      </c>
      <c r="F347" s="22">
        <f t="shared" si="77"/>
        <v>1.19344501186222E-17</v>
      </c>
      <c r="G347">
        <f t="shared" si="78"/>
        <v>0.14300358574892991</v>
      </c>
      <c r="H347" s="21">
        <v>6.1227327501156594E-5</v>
      </c>
      <c r="I347">
        <f t="shared" si="72"/>
        <v>3.5502411263313445E-2</v>
      </c>
      <c r="J347" s="22">
        <f t="shared" si="79"/>
        <v>6.1227327501156594E-5</v>
      </c>
      <c r="K347">
        <f t="shared" si="80"/>
        <v>3.4879592932235859E-2</v>
      </c>
      <c r="L347">
        <v>1.9141780325788282E-2</v>
      </c>
      <c r="M347">
        <f t="shared" si="73"/>
        <v>3.4879592932235859E-2</v>
      </c>
      <c r="N347">
        <f t="shared" si="81"/>
        <v>6.1227327501156594E-5</v>
      </c>
      <c r="O347">
        <v>1.19344501186222E-17</v>
      </c>
      <c r="P347">
        <v>6.1227327501144654E-5</v>
      </c>
      <c r="Q347">
        <v>0.99993877267249887</v>
      </c>
      <c r="R347">
        <f t="shared" si="74"/>
        <v>1</v>
      </c>
      <c r="S347">
        <f t="shared" si="75"/>
        <v>200</v>
      </c>
      <c r="T347">
        <v>6.4288693876201883E-2</v>
      </c>
      <c r="U347">
        <f t="shared" si="82"/>
        <v>200.0654503952847</v>
      </c>
      <c r="V347">
        <f t="shared" si="76"/>
        <v>3.0613663750578297E-5</v>
      </c>
      <c r="W347">
        <f t="shared" si="83"/>
        <v>3.11668548974885E-5</v>
      </c>
    </row>
    <row r="348" spans="1:23">
      <c r="A348" s="2">
        <v>345</v>
      </c>
      <c r="B348" s="2">
        <v>93.75</v>
      </c>
      <c r="C348">
        <f t="shared" si="70"/>
        <v>0.37193319724872231</v>
      </c>
      <c r="D348" s="21">
        <v>1.02268630757258E-17</v>
      </c>
      <c r="E348">
        <f t="shared" si="71"/>
        <v>0.1544112924931437</v>
      </c>
      <c r="F348" s="22">
        <f t="shared" si="77"/>
        <v>1.02268630757258E-17</v>
      </c>
      <c r="G348">
        <f t="shared" si="78"/>
        <v>0.14308049603658957</v>
      </c>
      <c r="H348" s="21">
        <v>5.9091133300800703E-5</v>
      </c>
      <c r="I348">
        <f t="shared" si="72"/>
        <v>3.5512733245731051E-2</v>
      </c>
      <c r="J348" s="22">
        <f t="shared" si="79"/>
        <v>5.9091133300800703E-5</v>
      </c>
      <c r="K348">
        <f t="shared" si="80"/>
        <v>3.4889554836695091E-2</v>
      </c>
      <c r="L348">
        <v>1.9141780325788282E-2</v>
      </c>
      <c r="M348">
        <f t="shared" si="73"/>
        <v>3.4889554836695091E-2</v>
      </c>
      <c r="N348">
        <f t="shared" si="81"/>
        <v>5.9091133300800703E-5</v>
      </c>
      <c r="O348">
        <v>1.02268630757258E-17</v>
      </c>
      <c r="P348">
        <v>5.9091133300790477E-5</v>
      </c>
      <c r="Q348">
        <v>0.99994090886669917</v>
      </c>
      <c r="R348">
        <f t="shared" si="74"/>
        <v>1</v>
      </c>
      <c r="S348">
        <f t="shared" si="75"/>
        <v>200</v>
      </c>
      <c r="T348">
        <v>6.204568996583E-2</v>
      </c>
      <c r="U348">
        <f t="shared" si="82"/>
        <v>200.06316719192102</v>
      </c>
      <c r="V348">
        <f t="shared" si="76"/>
        <v>2.9545566650400351E-5</v>
      </c>
      <c r="W348">
        <f t="shared" si="83"/>
        <v>3.0079615200489324E-5</v>
      </c>
    </row>
    <row r="349" spans="1:23">
      <c r="A349" s="2">
        <v>346</v>
      </c>
      <c r="B349" s="2">
        <v>93.833333300000007</v>
      </c>
      <c r="C349">
        <f t="shared" si="70"/>
        <v>0.37086847142915053</v>
      </c>
      <c r="D349" s="21">
        <v>8.7628137777344296E-18</v>
      </c>
      <c r="E349">
        <f t="shared" si="71"/>
        <v>0.15450083234982262</v>
      </c>
      <c r="F349" s="22">
        <f t="shared" si="77"/>
        <v>8.7628137777344296E-18</v>
      </c>
      <c r="G349">
        <f t="shared" si="78"/>
        <v>0.14315722105113515</v>
      </c>
      <c r="H349" s="21">
        <v>5.7028882846830299E-5</v>
      </c>
      <c r="I349">
        <f t="shared" si="72"/>
        <v>3.5523028297258376E-2</v>
      </c>
      <c r="J349" s="22">
        <f t="shared" si="79"/>
        <v>5.7028882846830299E-5</v>
      </c>
      <c r="K349">
        <f t="shared" si="80"/>
        <v>3.4899490647312681E-2</v>
      </c>
      <c r="L349">
        <v>1.9141780325788282E-2</v>
      </c>
      <c r="M349">
        <f t="shared" si="73"/>
        <v>3.4899490647312681E-2</v>
      </c>
      <c r="N349">
        <f t="shared" si="81"/>
        <v>5.7028882846830299E-5</v>
      </c>
      <c r="O349">
        <v>8.7628137777344296E-18</v>
      </c>
      <c r="P349">
        <v>5.7028882846821538E-5</v>
      </c>
      <c r="Q349">
        <v>0.99994297111715313</v>
      </c>
      <c r="R349">
        <f t="shared" si="74"/>
        <v>1</v>
      </c>
      <c r="S349">
        <f t="shared" si="75"/>
        <v>200</v>
      </c>
      <c r="T349">
        <v>5.9880326989162617E-2</v>
      </c>
      <c r="U349">
        <f t="shared" si="82"/>
        <v>200.0609630084775</v>
      </c>
      <c r="V349">
        <f t="shared" si="76"/>
        <v>2.851444142341515E-5</v>
      </c>
      <c r="W349">
        <f t="shared" si="83"/>
        <v>2.9030004036907749E-5</v>
      </c>
    </row>
    <row r="350" spans="1:23">
      <c r="A350" s="2">
        <v>347</v>
      </c>
      <c r="B350" s="2">
        <v>93.916666699999993</v>
      </c>
      <c r="C350">
        <f t="shared" si="70"/>
        <v>0.36980679357915824</v>
      </c>
      <c r="D350" s="21">
        <v>7.5076829966666693E-18</v>
      </c>
      <c r="E350">
        <f t="shared" si="71"/>
        <v>0.15459016511749024</v>
      </c>
      <c r="F350" s="22">
        <f t="shared" si="77"/>
        <v>7.5076829966666693E-18</v>
      </c>
      <c r="G350">
        <f t="shared" si="78"/>
        <v>0.14323376176918667</v>
      </c>
      <c r="H350" s="21">
        <v>5.5038038735027098E-5</v>
      </c>
      <c r="I350">
        <f t="shared" si="72"/>
        <v>3.553329656580502E-2</v>
      </c>
      <c r="J350" s="22">
        <f t="shared" si="79"/>
        <v>5.5038038735027098E-5</v>
      </c>
      <c r="K350">
        <f t="shared" si="80"/>
        <v>3.4909400507638577E-2</v>
      </c>
      <c r="L350">
        <v>1.9141780325788282E-2</v>
      </c>
      <c r="M350">
        <f t="shared" si="73"/>
        <v>3.4909400507638577E-2</v>
      </c>
      <c r="N350">
        <f t="shared" si="81"/>
        <v>5.5038038735027098E-5</v>
      </c>
      <c r="O350">
        <v>7.5076829966666693E-18</v>
      </c>
      <c r="P350">
        <v>5.503803873501959E-5</v>
      </c>
      <c r="Q350">
        <v>0.99994496196126492</v>
      </c>
      <c r="R350">
        <f t="shared" si="74"/>
        <v>1</v>
      </c>
      <c r="S350">
        <f t="shared" si="75"/>
        <v>200</v>
      </c>
      <c r="T350">
        <v>5.7789940671770568E-2</v>
      </c>
      <c r="U350">
        <f t="shared" si="82"/>
        <v>200.05883513383048</v>
      </c>
      <c r="V350">
        <f t="shared" si="76"/>
        <v>2.7519019367513549E-5</v>
      </c>
      <c r="W350">
        <f t="shared" si="83"/>
        <v>2.8016730395464349E-5</v>
      </c>
    </row>
    <row r="351" spans="1:23">
      <c r="A351" s="2">
        <v>348</v>
      </c>
      <c r="B351" s="2">
        <v>94</v>
      </c>
      <c r="C351">
        <f t="shared" si="70"/>
        <v>0.3687481549733832</v>
      </c>
      <c r="D351" s="21">
        <v>6.4317560518027799E-18</v>
      </c>
      <c r="E351">
        <f t="shared" si="71"/>
        <v>0.15467929187071411</v>
      </c>
      <c r="F351" s="22">
        <f t="shared" si="77"/>
        <v>6.4317560518027799E-18</v>
      </c>
      <c r="G351">
        <f t="shared" si="78"/>
        <v>0.14331011915947833</v>
      </c>
      <c r="H351" s="21">
        <v>5.3116149798813203E-5</v>
      </c>
      <c r="I351">
        <f t="shared" si="72"/>
        <v>3.5543538198044101E-2</v>
      </c>
      <c r="J351" s="22">
        <f t="shared" si="79"/>
        <v>5.3116149798813203E-5</v>
      </c>
      <c r="K351">
        <f t="shared" si="80"/>
        <v>3.4919284560021469E-2</v>
      </c>
      <c r="L351">
        <v>2.1327201937785922E-2</v>
      </c>
      <c r="M351">
        <f t="shared" si="73"/>
        <v>3.4919284560021469E-2</v>
      </c>
      <c r="N351">
        <f t="shared" si="81"/>
        <v>5.3116149798813203E-5</v>
      </c>
      <c r="O351">
        <v>6.4317560518027799E-18</v>
      </c>
      <c r="P351">
        <v>5.3116149798806773E-5</v>
      </c>
      <c r="Q351">
        <v>0.99994688385020114</v>
      </c>
      <c r="R351">
        <f t="shared" si="74"/>
        <v>1</v>
      </c>
      <c r="S351">
        <f t="shared" si="75"/>
        <v>200</v>
      </c>
      <c r="T351">
        <v>5.5771957288747114E-2</v>
      </c>
      <c r="U351">
        <f t="shared" si="82"/>
        <v>200.05678094898028</v>
      </c>
      <c r="V351">
        <f t="shared" si="76"/>
        <v>2.6558074899406602E-5</v>
      </c>
      <c r="W351">
        <f t="shared" si="83"/>
        <v>2.7038547133460074E-5</v>
      </c>
    </row>
    <row r="352" spans="1:23">
      <c r="A352" s="2">
        <v>349</v>
      </c>
      <c r="B352" s="2">
        <v>94.083333300000007</v>
      </c>
      <c r="C352">
        <f t="shared" si="70"/>
        <v>0.36769254691144126</v>
      </c>
      <c r="D352" s="21">
        <v>5.5095303864464598E-18</v>
      </c>
      <c r="E352">
        <f t="shared" si="71"/>
        <v>0.15476821367540333</v>
      </c>
      <c r="F352" s="22">
        <f t="shared" si="77"/>
        <v>5.5095303864464598E-18</v>
      </c>
      <c r="G352">
        <f t="shared" si="78"/>
        <v>0.14338629418288118</v>
      </c>
      <c r="H352" s="21">
        <v>5.1260848209769499E-5</v>
      </c>
      <c r="I352">
        <f t="shared" si="72"/>
        <v>3.5553753339423656E-2</v>
      </c>
      <c r="J352" s="22">
        <f t="shared" si="79"/>
        <v>5.1260848209769499E-5</v>
      </c>
      <c r="K352">
        <f t="shared" si="80"/>
        <v>3.4929142945619884E-2</v>
      </c>
      <c r="L352">
        <v>2.1327201937785922E-2</v>
      </c>
      <c r="M352">
        <f t="shared" si="73"/>
        <v>3.4929142945619884E-2</v>
      </c>
      <c r="N352">
        <f t="shared" si="81"/>
        <v>5.1260848209769499E-5</v>
      </c>
      <c r="O352">
        <v>5.5095303864464598E-18</v>
      </c>
      <c r="P352">
        <v>5.1260848209763989E-5</v>
      </c>
      <c r="Q352">
        <v>0.99994873915179028</v>
      </c>
      <c r="R352">
        <f t="shared" si="74"/>
        <v>1</v>
      </c>
      <c r="S352">
        <f t="shared" si="75"/>
        <v>200</v>
      </c>
      <c r="T352">
        <v>5.3823890620252189E-2</v>
      </c>
      <c r="U352">
        <f t="shared" si="82"/>
        <v>200.05479792395451</v>
      </c>
      <c r="V352">
        <f t="shared" si="76"/>
        <v>2.5630424104884749E-5</v>
      </c>
      <c r="W352">
        <f t="shared" si="83"/>
        <v>2.6094249502145674E-5</v>
      </c>
    </row>
    <row r="353" spans="1:23">
      <c r="A353" s="2">
        <v>350</v>
      </c>
      <c r="B353" s="2">
        <v>94.166666699999993</v>
      </c>
      <c r="C353">
        <f t="shared" si="70"/>
        <v>0.36663996071785399</v>
      </c>
      <c r="D353" s="21">
        <v>4.7191205525446203E-18</v>
      </c>
      <c r="E353">
        <f t="shared" si="71"/>
        <v>0.15485693158890126</v>
      </c>
      <c r="F353" s="22">
        <f t="shared" si="77"/>
        <v>4.7191205525446203E-18</v>
      </c>
      <c r="G353">
        <f t="shared" si="78"/>
        <v>0.14346228779248793</v>
      </c>
      <c r="H353" s="21">
        <v>4.9469846674454298E-5</v>
      </c>
      <c r="I353">
        <f t="shared" si="72"/>
        <v>3.556394213418531E-2</v>
      </c>
      <c r="J353" s="22">
        <f t="shared" si="79"/>
        <v>4.9469846674454298E-5</v>
      </c>
      <c r="K353">
        <f t="shared" si="80"/>
        <v>3.4938975804420291E-2</v>
      </c>
      <c r="L353">
        <v>2.1327201937785922E-2</v>
      </c>
      <c r="M353">
        <f t="shared" si="73"/>
        <v>3.4938975804420291E-2</v>
      </c>
      <c r="N353">
        <f t="shared" si="81"/>
        <v>4.9469846674454298E-5</v>
      </c>
      <c r="O353">
        <v>4.7191205525446203E-18</v>
      </c>
      <c r="P353">
        <v>4.9469846674449582E-5</v>
      </c>
      <c r="Q353">
        <v>0.99995053015332558</v>
      </c>
      <c r="R353">
        <f t="shared" si="74"/>
        <v>1</v>
      </c>
      <c r="S353">
        <f t="shared" si="75"/>
        <v>200</v>
      </c>
      <c r="T353">
        <v>5.1943339008172058E-2</v>
      </c>
      <c r="U353">
        <f t="shared" si="82"/>
        <v>200.05288361481422</v>
      </c>
      <c r="V353">
        <f t="shared" si="76"/>
        <v>2.4734923337227149E-5</v>
      </c>
      <c r="W353">
        <f t="shared" si="83"/>
        <v>2.5182673721055951E-5</v>
      </c>
    </row>
    <row r="354" spans="1:23">
      <c r="A354" s="2">
        <v>351</v>
      </c>
      <c r="B354" s="2">
        <v>94.25</v>
      </c>
      <c r="C354">
        <f t="shared" si="70"/>
        <v>0.36559038774197883</v>
      </c>
      <c r="D354" s="21">
        <v>4.0417469503550897E-18</v>
      </c>
      <c r="E354">
        <f t="shared" si="71"/>
        <v>0.15494544666010171</v>
      </c>
      <c r="F354" s="22">
        <f t="shared" si="77"/>
        <v>4.0417469503550897E-18</v>
      </c>
      <c r="G354">
        <f t="shared" si="78"/>
        <v>0.14353810093371755</v>
      </c>
      <c r="H354" s="21">
        <v>4.7740935724369103E-5</v>
      </c>
      <c r="I354">
        <f t="shared" si="72"/>
        <v>3.5574104725374291E-2</v>
      </c>
      <c r="J354" s="22">
        <f t="shared" si="79"/>
        <v>4.7740935724369103E-5</v>
      </c>
      <c r="K354">
        <f t="shared" si="80"/>
        <v>3.4948783275246864E-2</v>
      </c>
      <c r="L354">
        <v>2.1327201937785922E-2</v>
      </c>
      <c r="M354">
        <f t="shared" si="73"/>
        <v>3.4948783275246864E-2</v>
      </c>
      <c r="N354">
        <f t="shared" si="81"/>
        <v>4.7740935724369103E-5</v>
      </c>
      <c r="O354">
        <v>4.0417469503550897E-18</v>
      </c>
      <c r="P354">
        <v>4.7740935724365065E-5</v>
      </c>
      <c r="Q354">
        <v>0.99995225906427565</v>
      </c>
      <c r="R354">
        <f t="shared" si="74"/>
        <v>1</v>
      </c>
      <c r="S354">
        <f t="shared" si="75"/>
        <v>200</v>
      </c>
      <c r="T354">
        <v>5.012798251058332E-2</v>
      </c>
      <c r="U354">
        <f t="shared" si="82"/>
        <v>200.0510356607594</v>
      </c>
      <c r="V354">
        <f t="shared" si="76"/>
        <v>2.3870467862184552E-5</v>
      </c>
      <c r="W354">
        <f t="shared" si="83"/>
        <v>2.4302695599705852E-5</v>
      </c>
    </row>
    <row r="355" spans="1:23">
      <c r="A355" s="2">
        <v>352</v>
      </c>
      <c r="B355" s="2">
        <v>94.333333300000007</v>
      </c>
      <c r="C355">
        <f t="shared" si="70"/>
        <v>0.36454381935793684</v>
      </c>
      <c r="D355" s="21">
        <v>3.46129657673132E-18</v>
      </c>
      <c r="E355">
        <f t="shared" si="71"/>
        <v>0.1550337599294942</v>
      </c>
      <c r="F355" s="22">
        <f t="shared" si="77"/>
        <v>3.46129657673132E-18</v>
      </c>
      <c r="G355">
        <f t="shared" si="78"/>
        <v>0.14361373454435933</v>
      </c>
      <c r="H355" s="21">
        <v>4.6071981096019103E-5</v>
      </c>
      <c r="I355">
        <f t="shared" si="72"/>
        <v>3.5584241254854612E-2</v>
      </c>
      <c r="J355" s="22">
        <f t="shared" si="79"/>
        <v>4.6071981096019103E-5</v>
      </c>
      <c r="K355">
        <f t="shared" si="80"/>
        <v>3.495856549577625E-2</v>
      </c>
      <c r="L355">
        <v>2.1327201937785922E-2</v>
      </c>
      <c r="M355">
        <f t="shared" si="73"/>
        <v>3.495856549577625E-2</v>
      </c>
      <c r="N355">
        <f t="shared" si="81"/>
        <v>4.6071981096019103E-5</v>
      </c>
      <c r="O355">
        <v>3.46129657673132E-18</v>
      </c>
      <c r="P355">
        <v>4.607198109601564E-5</v>
      </c>
      <c r="Q355">
        <v>0.99995392801890393</v>
      </c>
      <c r="R355">
        <f t="shared" si="74"/>
        <v>1</v>
      </c>
      <c r="S355">
        <f t="shared" si="75"/>
        <v>200</v>
      </c>
      <c r="T355">
        <v>4.8375580150816423E-2</v>
      </c>
      <c r="U355">
        <f t="shared" si="82"/>
        <v>200.0492517813307</v>
      </c>
      <c r="V355">
        <f t="shared" si="76"/>
        <v>2.3035990548009551E-5</v>
      </c>
      <c r="W355">
        <f t="shared" si="83"/>
        <v>2.3453229205097051E-5</v>
      </c>
    </row>
    <row r="356" spans="1:23">
      <c r="A356" s="2">
        <v>353</v>
      </c>
      <c r="B356" s="2">
        <v>94.416666699999993</v>
      </c>
      <c r="C356">
        <f t="shared" si="70"/>
        <v>0.36350024696454231</v>
      </c>
      <c r="D356" s="21">
        <v>2.9639456768122001E-18</v>
      </c>
      <c r="E356">
        <f t="shared" si="71"/>
        <v>0.15512187242935352</v>
      </c>
      <c r="F356" s="22">
        <f t="shared" si="77"/>
        <v>2.9639456768122001E-18</v>
      </c>
      <c r="G356">
        <f t="shared" si="78"/>
        <v>0.14368918955474019</v>
      </c>
      <c r="H356" s="21">
        <v>4.4460921198115E-5</v>
      </c>
      <c r="I356">
        <f t="shared" si="72"/>
        <v>3.5594351863320176E-2</v>
      </c>
      <c r="J356" s="22">
        <f t="shared" si="79"/>
        <v>4.4460921198115E-5</v>
      </c>
      <c r="K356">
        <f t="shared" si="80"/>
        <v>3.4968322602548341E-2</v>
      </c>
      <c r="L356">
        <v>2.1327201937785922E-2</v>
      </c>
      <c r="M356">
        <f t="shared" si="73"/>
        <v>3.4968322602548341E-2</v>
      </c>
      <c r="N356">
        <f t="shared" si="81"/>
        <v>4.4460921198115E-5</v>
      </c>
      <c r="O356">
        <v>2.9639456768122001E-18</v>
      </c>
      <c r="P356">
        <v>4.4460921198112039E-5</v>
      </c>
      <c r="Q356">
        <v>0.99995553907880186</v>
      </c>
      <c r="R356">
        <f t="shared" si="74"/>
        <v>1</v>
      </c>
      <c r="S356">
        <f t="shared" si="75"/>
        <v>200</v>
      </c>
      <c r="T356">
        <v>4.6683967258017642E-2</v>
      </c>
      <c r="U356">
        <f t="shared" si="82"/>
        <v>200.04752977370441</v>
      </c>
      <c r="V356">
        <f t="shared" si="76"/>
        <v>2.22304605990575E-5</v>
      </c>
      <c r="W356">
        <f t="shared" si="83"/>
        <v>2.2633225573533524E-5</v>
      </c>
    </row>
    <row r="357" spans="1:23">
      <c r="A357" s="2">
        <v>354</v>
      </c>
      <c r="B357" s="2">
        <v>94.5</v>
      </c>
      <c r="C357">
        <f t="shared" si="70"/>
        <v>0.362459661985232</v>
      </c>
      <c r="D357" s="21">
        <v>2.5378356067011601E-18</v>
      </c>
      <c r="E357">
        <f t="shared" si="71"/>
        <v>0.15520978518371706</v>
      </c>
      <c r="F357" s="22">
        <f t="shared" si="77"/>
        <v>2.5378356067011601E-18</v>
      </c>
      <c r="G357">
        <f t="shared" si="78"/>
        <v>0.14376446688771038</v>
      </c>
      <c r="H357" s="21">
        <v>4.2905764663057601E-5</v>
      </c>
      <c r="I357">
        <f t="shared" si="72"/>
        <v>3.5604436690307523E-2</v>
      </c>
      <c r="J357" s="22">
        <f t="shared" si="79"/>
        <v>4.2905764663057601E-5</v>
      </c>
      <c r="K357">
        <f t="shared" si="80"/>
        <v>3.4978054730978703E-2</v>
      </c>
      <c r="L357">
        <v>2.1327201937785922E-2</v>
      </c>
      <c r="M357">
        <f t="shared" si="73"/>
        <v>3.4978054730978703E-2</v>
      </c>
      <c r="N357">
        <f t="shared" si="81"/>
        <v>4.2905764663057601E-5</v>
      </c>
      <c r="O357">
        <v>2.5378356067011601E-18</v>
      </c>
      <c r="P357">
        <v>4.290576466305506E-5</v>
      </c>
      <c r="Q357">
        <v>0.99995709423533696</v>
      </c>
      <c r="R357">
        <f t="shared" si="74"/>
        <v>1</v>
      </c>
      <c r="S357">
        <f t="shared" si="75"/>
        <v>200</v>
      </c>
      <c r="T357">
        <v>4.5051052896207811E-2</v>
      </c>
      <c r="U357">
        <f t="shared" si="82"/>
        <v>200.0458675100771</v>
      </c>
      <c r="V357">
        <f t="shared" si="76"/>
        <v>2.1452882331528801E-5</v>
      </c>
      <c r="W357">
        <f t="shared" si="83"/>
        <v>2.184167146529315E-5</v>
      </c>
    </row>
    <row r="358" spans="1:23">
      <c r="A358" s="2">
        <v>355</v>
      </c>
      <c r="B358" s="2">
        <v>94.583333300000007</v>
      </c>
      <c r="C358">
        <f t="shared" si="70"/>
        <v>0.36142205586799447</v>
      </c>
      <c r="D358" s="21">
        <v>2.17279443075183E-18</v>
      </c>
      <c r="E358">
        <f t="shared" si="71"/>
        <v>0.15529749920851313</v>
      </c>
      <c r="F358" s="22">
        <f t="shared" si="77"/>
        <v>2.17279443075183E-18</v>
      </c>
      <c r="G358">
        <f t="shared" si="78"/>
        <v>0.14383956745875826</v>
      </c>
      <c r="H358" s="21">
        <v>4.1404587979938601E-5</v>
      </c>
      <c r="I358">
        <f t="shared" si="72"/>
        <v>3.5614495874218874E-2</v>
      </c>
      <c r="J358" s="22">
        <f t="shared" si="79"/>
        <v>4.1404587979938601E-5</v>
      </c>
      <c r="K358">
        <f t="shared" si="80"/>
        <v>3.4987762015380897E-2</v>
      </c>
      <c r="L358">
        <v>2.1327201937785922E-2</v>
      </c>
      <c r="M358">
        <f t="shared" si="73"/>
        <v>3.4987762015380897E-2</v>
      </c>
      <c r="N358">
        <f t="shared" si="81"/>
        <v>4.1404587979938601E-5</v>
      </c>
      <c r="O358">
        <v>2.17279443075183E-18</v>
      </c>
      <c r="P358">
        <v>4.1404587979936426E-5</v>
      </c>
      <c r="Q358">
        <v>0.99995859541202003</v>
      </c>
      <c r="R358">
        <f t="shared" si="74"/>
        <v>1</v>
      </c>
      <c r="S358">
        <f t="shared" si="75"/>
        <v>200</v>
      </c>
      <c r="T358">
        <v>4.3474817378933245E-2</v>
      </c>
      <c r="U358">
        <f t="shared" si="82"/>
        <v>200.04426293513757</v>
      </c>
      <c r="V358">
        <f t="shared" si="76"/>
        <v>2.0702293989969301E-5</v>
      </c>
      <c r="W358">
        <f t="shared" si="83"/>
        <v>2.1077588160749049E-5</v>
      </c>
    </row>
    <row r="359" spans="1:23">
      <c r="A359" s="2">
        <v>356</v>
      </c>
      <c r="B359" s="2">
        <v>94.666666699999993</v>
      </c>
      <c r="C359">
        <f t="shared" si="70"/>
        <v>0.36038742008530034</v>
      </c>
      <c r="D359" s="21">
        <v>1.8600978236470601E-18</v>
      </c>
      <c r="E359">
        <f t="shared" si="71"/>
        <v>0.1553850155116934</v>
      </c>
      <c r="F359" s="22">
        <f t="shared" si="77"/>
        <v>1.8600978236470601E-18</v>
      </c>
      <c r="G359">
        <f t="shared" si="78"/>
        <v>0.14391449217612851</v>
      </c>
      <c r="H359" s="21">
        <v>3.9955533206382103E-5</v>
      </c>
      <c r="I359">
        <f t="shared" si="72"/>
        <v>3.5624529552312281E-2</v>
      </c>
      <c r="J359" s="22">
        <f t="shared" si="79"/>
        <v>3.9955533206382103E-5</v>
      </c>
      <c r="K359">
        <f t="shared" si="80"/>
        <v>3.4997444588957038E-2</v>
      </c>
      <c r="L359">
        <v>2.1327201937785922E-2</v>
      </c>
      <c r="M359">
        <f t="shared" si="73"/>
        <v>3.4997444588957038E-2</v>
      </c>
      <c r="N359">
        <f t="shared" si="81"/>
        <v>3.9955533206382103E-5</v>
      </c>
      <c r="O359">
        <v>1.8600978236470601E-18</v>
      </c>
      <c r="P359">
        <v>3.9955533206380239E-5</v>
      </c>
      <c r="Q359">
        <v>0.99996004446679365</v>
      </c>
      <c r="R359">
        <f t="shared" si="74"/>
        <v>1</v>
      </c>
      <c r="S359">
        <f t="shared" si="75"/>
        <v>200</v>
      </c>
      <c r="T359">
        <v>4.1953309866699248E-2</v>
      </c>
      <c r="U359">
        <f t="shared" si="82"/>
        <v>200.04271406362281</v>
      </c>
      <c r="V359">
        <f t="shared" si="76"/>
        <v>1.9977766603191051E-5</v>
      </c>
      <c r="W359">
        <f t="shared" si="83"/>
        <v>2.0340030296580178E-5</v>
      </c>
    </row>
    <row r="360" spans="1:23">
      <c r="A360" s="2">
        <v>357</v>
      </c>
      <c r="B360" s="2">
        <v>94.75</v>
      </c>
      <c r="C360">
        <f t="shared" si="70"/>
        <v>0.35935574613403132</v>
      </c>
      <c r="D360" s="21">
        <v>1.59226374808431E-18</v>
      </c>
      <c r="E360">
        <f t="shared" si="71"/>
        <v>0.1554723350932502</v>
      </c>
      <c r="F360" s="22">
        <f t="shared" si="77"/>
        <v>1.59226374808431E-18</v>
      </c>
      <c r="G360">
        <f t="shared" si="78"/>
        <v>0.14398924194084195</v>
      </c>
      <c r="H360" s="21">
        <v>3.8556805756634803E-5</v>
      </c>
      <c r="I360">
        <f t="shared" si="72"/>
        <v>3.5634537860731071E-2</v>
      </c>
      <c r="J360" s="22">
        <f t="shared" si="79"/>
        <v>3.8556805756634803E-5</v>
      </c>
      <c r="K360">
        <f t="shared" si="80"/>
        <v>3.5007102583826333E-2</v>
      </c>
      <c r="L360">
        <v>2.1327201937785922E-2</v>
      </c>
      <c r="M360">
        <f t="shared" si="73"/>
        <v>3.5007102583826333E-2</v>
      </c>
      <c r="N360">
        <f t="shared" si="81"/>
        <v>3.8556805756634803E-5</v>
      </c>
      <c r="O360">
        <v>1.59226374808431E-18</v>
      </c>
      <c r="P360">
        <v>3.855680575663321E-5</v>
      </c>
      <c r="Q360">
        <v>0.9999614431942434</v>
      </c>
      <c r="R360">
        <f t="shared" si="74"/>
        <v>1</v>
      </c>
      <c r="S360">
        <f t="shared" si="75"/>
        <v>200</v>
      </c>
      <c r="T360">
        <v>4.0484646044464868E-2</v>
      </c>
      <c r="U360">
        <f t="shared" si="82"/>
        <v>200.04121897795557</v>
      </c>
      <c r="V360">
        <f t="shared" si="76"/>
        <v>1.9278402878317401E-5</v>
      </c>
      <c r="W360">
        <f t="shared" si="83"/>
        <v>1.9628084740754225E-5</v>
      </c>
    </row>
    <row r="361" spans="1:23">
      <c r="A361" s="2">
        <v>358</v>
      </c>
      <c r="B361" s="2">
        <v>94.833333300000007</v>
      </c>
      <c r="C361">
        <f t="shared" si="70"/>
        <v>0.35832702553541107</v>
      </c>
      <c r="D361" s="21">
        <v>1.3628761538346501E-18</v>
      </c>
      <c r="E361">
        <f t="shared" si="71"/>
        <v>0.15555945894535642</v>
      </c>
      <c r="F361" s="22">
        <f t="shared" si="77"/>
        <v>1.3628761538346501E-18</v>
      </c>
      <c r="G361">
        <f t="shared" si="78"/>
        <v>0.14406381764681986</v>
      </c>
      <c r="H361" s="21">
        <v>3.7206672263398699E-5</v>
      </c>
      <c r="I361">
        <f t="shared" si="72"/>
        <v>3.5644520934526192E-2</v>
      </c>
      <c r="J361" s="22">
        <f t="shared" si="79"/>
        <v>3.7206672263398699E-5</v>
      </c>
      <c r="K361">
        <f t="shared" si="80"/>
        <v>3.5016736131046722E-2</v>
      </c>
      <c r="L361">
        <v>2.1327201937785922E-2</v>
      </c>
      <c r="M361">
        <f t="shared" si="73"/>
        <v>3.5016736131046722E-2</v>
      </c>
      <c r="N361">
        <f t="shared" si="81"/>
        <v>3.7206672263398699E-5</v>
      </c>
      <c r="O361">
        <v>1.3628761538346501E-18</v>
      </c>
      <c r="P361">
        <v>3.7206672263397337E-5</v>
      </c>
      <c r="Q361">
        <v>0.99996279332773663</v>
      </c>
      <c r="R361">
        <f t="shared" si="74"/>
        <v>1</v>
      </c>
      <c r="S361">
        <f t="shared" si="75"/>
        <v>200</v>
      </c>
      <c r="T361">
        <v>3.9067005876567203E-2</v>
      </c>
      <c r="U361">
        <f t="shared" si="82"/>
        <v>200.03977582596053</v>
      </c>
      <c r="V361">
        <f t="shared" si="76"/>
        <v>1.8603336131699349E-5</v>
      </c>
      <c r="W361">
        <f t="shared" si="83"/>
        <v>1.8940869505008377E-5</v>
      </c>
    </row>
    <row r="362" spans="1:23">
      <c r="A362" s="2">
        <v>359</v>
      </c>
      <c r="B362" s="2">
        <v>94.916666699999993</v>
      </c>
      <c r="C362">
        <f t="shared" si="70"/>
        <v>0.35730124983493555</v>
      </c>
      <c r="D362" s="21">
        <v>1.1664336106939501E-18</v>
      </c>
      <c r="E362">
        <f t="shared" si="71"/>
        <v>0.15564638805236411</v>
      </c>
      <c r="F362" s="22">
        <f t="shared" si="77"/>
        <v>1.1664336106939501E-18</v>
      </c>
      <c r="G362">
        <f t="shared" si="78"/>
        <v>0.14413822018088762</v>
      </c>
      <c r="H362" s="21">
        <v>3.5903458510982401E-5</v>
      </c>
      <c r="I362">
        <f t="shared" si="72"/>
        <v>3.5654478907636247E-2</v>
      </c>
      <c r="J362" s="22">
        <f t="shared" si="79"/>
        <v>3.5903458510982401E-5</v>
      </c>
      <c r="K362">
        <f t="shared" si="80"/>
        <v>3.5026345360595679E-2</v>
      </c>
      <c r="L362">
        <v>2.1327201937785922E-2</v>
      </c>
      <c r="M362">
        <f t="shared" si="73"/>
        <v>3.5026345360595679E-2</v>
      </c>
      <c r="N362">
        <f t="shared" si="81"/>
        <v>3.5903458510982401E-5</v>
      </c>
      <c r="O362">
        <v>1.1664336106939501E-18</v>
      </c>
      <c r="P362">
        <v>3.5903458510981236E-5</v>
      </c>
      <c r="Q362">
        <v>0.99996409654148899</v>
      </c>
      <c r="R362">
        <f t="shared" si="74"/>
        <v>1</v>
      </c>
      <c r="S362">
        <f t="shared" si="75"/>
        <v>200</v>
      </c>
      <c r="T362">
        <v>3.7698631436530294E-2</v>
      </c>
      <c r="U362">
        <f t="shared" si="82"/>
        <v>200.03838281865657</v>
      </c>
      <c r="V362">
        <f t="shared" si="76"/>
        <v>1.7951729255491201E-5</v>
      </c>
      <c r="W362">
        <f t="shared" si="83"/>
        <v>1.8277532693595277E-5</v>
      </c>
    </row>
    <row r="363" spans="1:23">
      <c r="A363" s="2">
        <v>360</v>
      </c>
      <c r="B363" s="2">
        <v>95</v>
      </c>
      <c r="C363">
        <f t="shared" si="70"/>
        <v>0.3562784106023027</v>
      </c>
      <c r="D363" s="21">
        <v>9.9821936144006593E-19</v>
      </c>
      <c r="E363">
        <f t="shared" si="71"/>
        <v>0.15573312339102424</v>
      </c>
      <c r="F363" s="22">
        <f t="shared" si="77"/>
        <v>9.9821936144006593E-19</v>
      </c>
      <c r="G363">
        <f t="shared" si="78"/>
        <v>0.14421245042296738</v>
      </c>
      <c r="H363" s="21">
        <v>3.4645547437421801E-5</v>
      </c>
      <c r="I363">
        <f t="shared" si="72"/>
        <v>3.566441191292604E-2</v>
      </c>
      <c r="J363" s="22">
        <f t="shared" si="79"/>
        <v>3.4645547437421801E-5</v>
      </c>
      <c r="K363">
        <f t="shared" si="80"/>
        <v>3.5035930401407511E-2</v>
      </c>
      <c r="L363">
        <v>2.3605097188321267E-2</v>
      </c>
      <c r="M363">
        <f t="shared" si="73"/>
        <v>3.5035930401407511E-2</v>
      </c>
      <c r="N363">
        <f t="shared" si="81"/>
        <v>3.4645547437421801E-5</v>
      </c>
      <c r="O363">
        <v>9.9821936144006593E-19</v>
      </c>
      <c r="P363">
        <v>3.4645547437420805E-5</v>
      </c>
      <c r="Q363">
        <v>0.99996535445256263</v>
      </c>
      <c r="R363">
        <f t="shared" si="74"/>
        <v>1</v>
      </c>
      <c r="S363">
        <f t="shared" si="75"/>
        <v>200</v>
      </c>
      <c r="T363">
        <v>3.6377824809291845E-2</v>
      </c>
      <c r="U363">
        <f t="shared" si="82"/>
        <v>200.0370382281229</v>
      </c>
      <c r="V363">
        <f t="shared" si="76"/>
        <v>1.73227737187109E-5</v>
      </c>
      <c r="W363">
        <f t="shared" si="83"/>
        <v>1.7637251487101049E-5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FCC7-DD33-F544-B478-06E0ECA2B810}">
  <dimension ref="A1:P107"/>
  <sheetViews>
    <sheetView workbookViewId="0">
      <selection activeCell="T16" sqref="T16"/>
    </sheetView>
  </sheetViews>
  <sheetFormatPr baseColWidth="10" defaultRowHeight="16"/>
  <cols>
    <col min="16" max="16" width="17.6640625" customWidth="1"/>
  </cols>
  <sheetData>
    <row r="1" spans="1:16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3" t="s">
        <v>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 t="s">
        <v>29</v>
      </c>
      <c r="B5" s="2"/>
      <c r="C5" s="2"/>
      <c r="D5" s="2"/>
      <c r="E5" s="2"/>
      <c r="F5" s="2"/>
      <c r="G5" s="2"/>
      <c r="H5" s="2" t="s">
        <v>30</v>
      </c>
      <c r="I5" s="2"/>
      <c r="J5" s="2"/>
      <c r="K5" s="2"/>
      <c r="L5" s="2"/>
      <c r="M5" s="2"/>
      <c r="N5" s="2"/>
      <c r="O5" s="2"/>
      <c r="P5" s="2"/>
    </row>
    <row r="6" spans="1:1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/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  <c r="N6" s="2"/>
      <c r="O6" s="2" t="s">
        <v>37</v>
      </c>
      <c r="P6" s="2" t="s">
        <v>38</v>
      </c>
    </row>
    <row r="7" spans="1:16">
      <c r="A7" s="2">
        <v>0</v>
      </c>
      <c r="B7" s="2">
        <v>4.6049999999999997E-3</v>
      </c>
      <c r="C7" s="2">
        <v>4.5950000000000001E-3</v>
      </c>
      <c r="D7" s="2">
        <v>100000</v>
      </c>
      <c r="E7" s="2">
        <v>459.5</v>
      </c>
      <c r="F7" s="2">
        <v>79.13</v>
      </c>
      <c r="G7" s="2"/>
      <c r="H7" s="2">
        <v>0</v>
      </c>
      <c r="I7" s="2">
        <v>3.6350000000000002E-3</v>
      </c>
      <c r="J7" s="2">
        <v>3.6289999999999998E-3</v>
      </c>
      <c r="K7" s="2">
        <v>100000</v>
      </c>
      <c r="L7" s="2">
        <v>362.9</v>
      </c>
      <c r="M7" s="2">
        <v>83.03</v>
      </c>
      <c r="N7" s="2"/>
      <c r="O7" s="2">
        <f>(C7+J7)/2</f>
        <v>4.1120000000000002E-3</v>
      </c>
      <c r="P7" s="2">
        <f>1-(1-O7)^(1/12)</f>
        <v>3.4331418083566323E-4</v>
      </c>
    </row>
    <row r="8" spans="1:16">
      <c r="A8" s="2">
        <v>1</v>
      </c>
      <c r="B8" s="2">
        <v>2.5399999999999999E-4</v>
      </c>
      <c r="C8" s="2">
        <v>2.5399999999999999E-4</v>
      </c>
      <c r="D8" s="2">
        <v>99540.5</v>
      </c>
      <c r="E8" s="2">
        <v>25.3</v>
      </c>
      <c r="F8" s="2">
        <v>78.5</v>
      </c>
      <c r="G8" s="2"/>
      <c r="H8" s="2">
        <v>1</v>
      </c>
      <c r="I8" s="2">
        <v>2.1100000000000001E-4</v>
      </c>
      <c r="J8" s="2">
        <v>2.1100000000000001E-4</v>
      </c>
      <c r="K8" s="2">
        <v>99637.1</v>
      </c>
      <c r="L8" s="2">
        <v>21</v>
      </c>
      <c r="M8" s="2">
        <v>82.33</v>
      </c>
      <c r="N8" s="2"/>
      <c r="O8" s="2">
        <f t="shared" ref="O8:O71" si="0">(C8+J8)/2</f>
        <v>2.3250000000000001E-4</v>
      </c>
      <c r="P8" s="2">
        <f t="shared" ref="P8:P71" si="1">1-(1-O8)^(1/12)</f>
        <v>1.9377064955139467E-5</v>
      </c>
    </row>
    <row r="9" spans="1:16">
      <c r="A9" s="2">
        <v>2</v>
      </c>
      <c r="B9" s="2">
        <v>1.7799999999999999E-4</v>
      </c>
      <c r="C9" s="2">
        <v>1.7799999999999999E-4</v>
      </c>
      <c r="D9" s="2">
        <v>99515.3</v>
      </c>
      <c r="E9" s="2">
        <v>17.7</v>
      </c>
      <c r="F9" s="2">
        <v>77.52</v>
      </c>
      <c r="G9" s="2"/>
      <c r="H9" s="2">
        <v>2</v>
      </c>
      <c r="I9" s="2">
        <v>1.3999999999999999E-4</v>
      </c>
      <c r="J9" s="2">
        <v>1.3999999999999999E-4</v>
      </c>
      <c r="K9" s="2">
        <v>99616.1</v>
      </c>
      <c r="L9" s="2">
        <v>13.9</v>
      </c>
      <c r="M9" s="2">
        <v>81.349999999999994</v>
      </c>
      <c r="N9" s="2"/>
      <c r="O9" s="2">
        <f t="shared" si="0"/>
        <v>1.5899999999999999E-4</v>
      </c>
      <c r="P9" s="2">
        <f t="shared" si="1"/>
        <v>1.325096569182449E-5</v>
      </c>
    </row>
    <row r="10" spans="1:16">
      <c r="A10" s="2">
        <v>3</v>
      </c>
      <c r="B10" s="2">
        <v>1.15E-4</v>
      </c>
      <c r="C10" s="2">
        <v>1.15E-4</v>
      </c>
      <c r="D10" s="2">
        <v>99497.5</v>
      </c>
      <c r="E10" s="2">
        <v>11.5</v>
      </c>
      <c r="F10" s="2">
        <v>76.53</v>
      </c>
      <c r="G10" s="2"/>
      <c r="H10" s="2">
        <v>3</v>
      </c>
      <c r="I10" s="2">
        <v>1.01E-4</v>
      </c>
      <c r="J10" s="2">
        <v>1.01E-4</v>
      </c>
      <c r="K10" s="2">
        <v>99602.2</v>
      </c>
      <c r="L10" s="2">
        <v>10</v>
      </c>
      <c r="M10" s="2">
        <v>80.36</v>
      </c>
      <c r="N10" s="2"/>
      <c r="O10" s="2">
        <f t="shared" si="0"/>
        <v>1.08E-4</v>
      </c>
      <c r="P10" s="2">
        <f t="shared" si="1"/>
        <v>9.0004455307601816E-6</v>
      </c>
    </row>
    <row r="11" spans="1:16">
      <c r="A11" s="2">
        <v>4</v>
      </c>
      <c r="B11" s="2">
        <v>1.02E-4</v>
      </c>
      <c r="C11" s="2">
        <v>1.02E-4</v>
      </c>
      <c r="D11" s="2">
        <v>99486</v>
      </c>
      <c r="E11" s="2">
        <v>10.199999999999999</v>
      </c>
      <c r="F11" s="2">
        <v>75.540000000000006</v>
      </c>
      <c r="G11" s="2"/>
      <c r="H11" s="2">
        <v>4</v>
      </c>
      <c r="I11" s="2">
        <v>8.2999999999999998E-5</v>
      </c>
      <c r="J11" s="2">
        <v>8.2999999999999998E-5</v>
      </c>
      <c r="K11" s="2">
        <v>99592.1</v>
      </c>
      <c r="L11" s="2">
        <v>8.1999999999999993</v>
      </c>
      <c r="M11" s="2">
        <v>79.37</v>
      </c>
      <c r="N11" s="2"/>
      <c r="O11" s="2">
        <f t="shared" si="0"/>
        <v>9.2499999999999999E-5</v>
      </c>
      <c r="P11" s="2">
        <f t="shared" si="1"/>
        <v>7.7086601538711719E-6</v>
      </c>
    </row>
    <row r="12" spans="1:16">
      <c r="A12" s="2">
        <v>5</v>
      </c>
      <c r="B12" s="2">
        <v>9.7E-5</v>
      </c>
      <c r="C12" s="2">
        <v>9.7E-5</v>
      </c>
      <c r="D12" s="2">
        <v>99475.9</v>
      </c>
      <c r="E12" s="2">
        <v>9.6999999999999993</v>
      </c>
      <c r="F12" s="2">
        <v>74.55</v>
      </c>
      <c r="G12" s="2"/>
      <c r="H12" s="2">
        <v>5</v>
      </c>
      <c r="I12" s="2">
        <v>6.8999999999999997E-5</v>
      </c>
      <c r="J12" s="2">
        <v>6.8999999999999997E-5</v>
      </c>
      <c r="K12" s="2">
        <v>99583.9</v>
      </c>
      <c r="L12" s="2">
        <v>6.9</v>
      </c>
      <c r="M12" s="2">
        <v>78.37</v>
      </c>
      <c r="N12" s="2"/>
      <c r="O12" s="2">
        <f t="shared" si="0"/>
        <v>8.2999999999999998E-5</v>
      </c>
      <c r="P12" s="2">
        <f t="shared" si="1"/>
        <v>6.9169298021476422E-6</v>
      </c>
    </row>
    <row r="13" spans="1:16">
      <c r="A13" s="2">
        <v>6</v>
      </c>
      <c r="B13" s="2">
        <v>8.0000000000000007E-5</v>
      </c>
      <c r="C13" s="2">
        <v>8.0000000000000007E-5</v>
      </c>
      <c r="D13" s="2">
        <v>99466.2</v>
      </c>
      <c r="E13" s="2">
        <v>7.9</v>
      </c>
      <c r="F13" s="2">
        <v>73.55</v>
      </c>
      <c r="G13" s="2"/>
      <c r="H13" s="2">
        <v>6</v>
      </c>
      <c r="I13" s="2">
        <v>7.4999999999999993E-5</v>
      </c>
      <c r="J13" s="2">
        <v>7.4999999999999993E-5</v>
      </c>
      <c r="K13" s="2">
        <v>99577</v>
      </c>
      <c r="L13" s="2">
        <v>7.4</v>
      </c>
      <c r="M13" s="2">
        <v>77.38</v>
      </c>
      <c r="N13" s="2"/>
      <c r="O13" s="2">
        <f t="shared" si="0"/>
        <v>7.75E-5</v>
      </c>
      <c r="P13" s="2">
        <f t="shared" si="1"/>
        <v>6.4585627500557408E-6</v>
      </c>
    </row>
    <row r="14" spans="1:16">
      <c r="A14" s="2">
        <v>7</v>
      </c>
      <c r="B14" s="2">
        <v>8.0000000000000007E-5</v>
      </c>
      <c r="C14" s="2">
        <v>8.0000000000000007E-5</v>
      </c>
      <c r="D14" s="2">
        <v>99458.2</v>
      </c>
      <c r="E14" s="2">
        <v>8</v>
      </c>
      <c r="F14" s="2">
        <v>72.56</v>
      </c>
      <c r="G14" s="2"/>
      <c r="H14" s="2">
        <v>7</v>
      </c>
      <c r="I14" s="2">
        <v>6.2000000000000003E-5</v>
      </c>
      <c r="J14" s="2">
        <v>6.2000000000000003E-5</v>
      </c>
      <c r="K14" s="2">
        <v>99569.600000000006</v>
      </c>
      <c r="L14" s="2">
        <v>6.2</v>
      </c>
      <c r="M14" s="2">
        <v>76.39</v>
      </c>
      <c r="N14" s="2"/>
      <c r="O14" s="2">
        <f t="shared" si="0"/>
        <v>7.1000000000000005E-5</v>
      </c>
      <c r="P14" s="2">
        <f t="shared" si="1"/>
        <v>5.9168592135838693E-6</v>
      </c>
    </row>
    <row r="15" spans="1:16">
      <c r="A15" s="2">
        <v>8</v>
      </c>
      <c r="B15" s="2">
        <v>8.0000000000000007E-5</v>
      </c>
      <c r="C15" s="2">
        <v>8.0000000000000007E-5</v>
      </c>
      <c r="D15" s="2">
        <v>99450.2</v>
      </c>
      <c r="E15" s="2">
        <v>7.9</v>
      </c>
      <c r="F15" s="2">
        <v>71.56</v>
      </c>
      <c r="G15" s="2"/>
      <c r="H15" s="2">
        <v>8</v>
      </c>
      <c r="I15" s="2">
        <v>6.2000000000000003E-5</v>
      </c>
      <c r="J15" s="2">
        <v>6.2000000000000003E-5</v>
      </c>
      <c r="K15" s="2">
        <v>99563.4</v>
      </c>
      <c r="L15" s="2">
        <v>6.1</v>
      </c>
      <c r="M15" s="2">
        <v>75.39</v>
      </c>
      <c r="N15" s="2"/>
      <c r="O15" s="2">
        <f t="shared" si="0"/>
        <v>7.1000000000000005E-5</v>
      </c>
      <c r="P15" s="2">
        <f t="shared" si="1"/>
        <v>5.9168592135838693E-6</v>
      </c>
    </row>
    <row r="16" spans="1:16">
      <c r="A16" s="2">
        <v>9</v>
      </c>
      <c r="B16" s="2">
        <v>8.8999999999999995E-5</v>
      </c>
      <c r="C16" s="2">
        <v>8.8999999999999995E-5</v>
      </c>
      <c r="D16" s="2">
        <v>99442.3</v>
      </c>
      <c r="E16" s="2">
        <v>8.9</v>
      </c>
      <c r="F16" s="2">
        <v>70.569999999999993</v>
      </c>
      <c r="G16" s="2"/>
      <c r="H16" s="2">
        <v>9</v>
      </c>
      <c r="I16" s="2">
        <v>6.0999999999999999E-5</v>
      </c>
      <c r="J16" s="2">
        <v>6.0999999999999999E-5</v>
      </c>
      <c r="K16" s="2">
        <v>99557.3</v>
      </c>
      <c r="L16" s="2">
        <v>6.1</v>
      </c>
      <c r="M16" s="2">
        <v>74.400000000000006</v>
      </c>
      <c r="N16" s="2"/>
      <c r="O16" s="2">
        <f t="shared" si="0"/>
        <v>7.4999999999999993E-5</v>
      </c>
      <c r="P16" s="2">
        <f t="shared" si="1"/>
        <v>6.2502148540088953E-6</v>
      </c>
    </row>
    <row r="17" spans="1:16">
      <c r="A17" s="2">
        <v>10</v>
      </c>
      <c r="B17" s="2">
        <v>7.2000000000000002E-5</v>
      </c>
      <c r="C17" s="2">
        <v>7.2000000000000002E-5</v>
      </c>
      <c r="D17" s="2">
        <v>99433.5</v>
      </c>
      <c r="E17" s="2">
        <v>7.1</v>
      </c>
      <c r="F17" s="2">
        <v>69.58</v>
      </c>
      <c r="G17" s="2"/>
      <c r="H17" s="2">
        <v>10</v>
      </c>
      <c r="I17" s="2">
        <v>7.7000000000000001E-5</v>
      </c>
      <c r="J17" s="2">
        <v>7.7000000000000001E-5</v>
      </c>
      <c r="K17" s="2">
        <v>99551.2</v>
      </c>
      <c r="L17" s="2">
        <v>7.7</v>
      </c>
      <c r="M17" s="2">
        <v>73.400000000000006</v>
      </c>
      <c r="N17" s="2"/>
      <c r="O17" s="2">
        <f t="shared" si="0"/>
        <v>7.4499999999999995E-5</v>
      </c>
      <c r="P17" s="2">
        <f t="shared" si="1"/>
        <v>6.2085453321758521E-6</v>
      </c>
    </row>
    <row r="18" spans="1:16">
      <c r="A18" s="2">
        <v>11</v>
      </c>
      <c r="B18" s="2">
        <v>9.7E-5</v>
      </c>
      <c r="C18" s="2">
        <v>9.7E-5</v>
      </c>
      <c r="D18" s="2">
        <v>99426.3</v>
      </c>
      <c r="E18" s="2">
        <v>9.6999999999999993</v>
      </c>
      <c r="F18" s="2">
        <v>68.58</v>
      </c>
      <c r="G18" s="2"/>
      <c r="H18" s="2">
        <v>11</v>
      </c>
      <c r="I18" s="2">
        <v>6.3E-5</v>
      </c>
      <c r="J18" s="2">
        <v>6.3E-5</v>
      </c>
      <c r="K18" s="2">
        <v>99543.5</v>
      </c>
      <c r="L18" s="2">
        <v>6.3</v>
      </c>
      <c r="M18" s="2">
        <v>72.41</v>
      </c>
      <c r="N18" s="2"/>
      <c r="O18" s="2">
        <f t="shared" si="0"/>
        <v>7.9999999999999993E-5</v>
      </c>
      <c r="P18" s="2">
        <f t="shared" si="1"/>
        <v>6.6669111236095091E-6</v>
      </c>
    </row>
    <row r="19" spans="1:16">
      <c r="A19" s="2">
        <v>12</v>
      </c>
      <c r="B19" s="2">
        <v>9.8999999999999994E-5</v>
      </c>
      <c r="C19" s="2">
        <v>9.8999999999999994E-5</v>
      </c>
      <c r="D19" s="2">
        <v>99416.6</v>
      </c>
      <c r="E19" s="2">
        <v>9.9</v>
      </c>
      <c r="F19" s="2">
        <v>67.59</v>
      </c>
      <c r="G19" s="2"/>
      <c r="H19" s="2">
        <v>12</v>
      </c>
      <c r="I19" s="2">
        <v>6.7000000000000002E-5</v>
      </c>
      <c r="J19" s="2">
        <v>6.7000000000000002E-5</v>
      </c>
      <c r="K19" s="2">
        <v>99537.2</v>
      </c>
      <c r="L19" s="2">
        <v>6.7</v>
      </c>
      <c r="M19" s="2">
        <v>71.41</v>
      </c>
      <c r="N19" s="2"/>
      <c r="O19" s="2">
        <f t="shared" si="0"/>
        <v>8.2999999999999998E-5</v>
      </c>
      <c r="P19" s="2">
        <f t="shared" si="1"/>
        <v>6.9169298021476422E-6</v>
      </c>
    </row>
    <row r="20" spans="1:16">
      <c r="A20" s="2">
        <v>13</v>
      </c>
      <c r="B20" s="2">
        <v>1.13E-4</v>
      </c>
      <c r="C20" s="2">
        <v>1.13E-4</v>
      </c>
      <c r="D20" s="2">
        <v>99406.8</v>
      </c>
      <c r="E20" s="2">
        <v>11.2</v>
      </c>
      <c r="F20" s="2">
        <v>66.59</v>
      </c>
      <c r="G20" s="2"/>
      <c r="H20" s="2">
        <v>13</v>
      </c>
      <c r="I20" s="2">
        <v>9.5000000000000005E-5</v>
      </c>
      <c r="J20" s="2">
        <v>9.5000000000000005E-5</v>
      </c>
      <c r="K20" s="2">
        <v>99530.5</v>
      </c>
      <c r="L20" s="2">
        <v>9.4</v>
      </c>
      <c r="M20" s="2">
        <v>70.41</v>
      </c>
      <c r="N20" s="2"/>
      <c r="O20" s="2">
        <f t="shared" si="0"/>
        <v>1.0400000000000001E-4</v>
      </c>
      <c r="P20" s="2">
        <f t="shared" si="1"/>
        <v>8.6670798051802223E-6</v>
      </c>
    </row>
    <row r="21" spans="1:16">
      <c r="A21" s="2">
        <v>14</v>
      </c>
      <c r="B21" s="2">
        <v>1.4200000000000001E-4</v>
      </c>
      <c r="C21" s="2">
        <v>1.4100000000000001E-4</v>
      </c>
      <c r="D21" s="2">
        <v>99395.6</v>
      </c>
      <c r="E21" s="2">
        <v>14.1</v>
      </c>
      <c r="F21" s="2">
        <v>65.599999999999994</v>
      </c>
      <c r="G21" s="2"/>
      <c r="H21" s="2">
        <v>14</v>
      </c>
      <c r="I21" s="2">
        <v>1.02E-4</v>
      </c>
      <c r="J21" s="2">
        <v>1.02E-4</v>
      </c>
      <c r="K21" s="2">
        <v>99521.1</v>
      </c>
      <c r="L21" s="2">
        <v>10.1</v>
      </c>
      <c r="M21" s="2">
        <v>69.42</v>
      </c>
      <c r="N21" s="2"/>
      <c r="O21" s="2">
        <f t="shared" si="0"/>
        <v>1.215E-4</v>
      </c>
      <c r="P21" s="2">
        <f t="shared" si="1"/>
        <v>1.0125563879692656E-5</v>
      </c>
    </row>
    <row r="22" spans="1:16">
      <c r="A22" s="2">
        <v>15</v>
      </c>
      <c r="B22" s="2">
        <v>1.74E-4</v>
      </c>
      <c r="C22" s="2">
        <v>1.74E-4</v>
      </c>
      <c r="D22" s="2">
        <v>99381.5</v>
      </c>
      <c r="E22" s="2">
        <v>17.3</v>
      </c>
      <c r="F22" s="2">
        <v>64.61</v>
      </c>
      <c r="G22" s="2"/>
      <c r="H22" s="2">
        <v>15</v>
      </c>
      <c r="I22" s="2">
        <v>1.1900000000000001E-4</v>
      </c>
      <c r="J22" s="2">
        <v>1.1900000000000001E-4</v>
      </c>
      <c r="K22" s="2">
        <v>99511</v>
      </c>
      <c r="L22" s="2">
        <v>11.8</v>
      </c>
      <c r="M22" s="2">
        <v>68.430000000000007</v>
      </c>
      <c r="N22" s="2"/>
      <c r="O22" s="2">
        <f t="shared" si="0"/>
        <v>1.4650000000000001E-4</v>
      </c>
      <c r="P22" s="2">
        <f t="shared" si="1"/>
        <v>1.2209153148812213E-5</v>
      </c>
    </row>
    <row r="23" spans="1:16">
      <c r="A23" s="2">
        <v>16</v>
      </c>
      <c r="B23" s="2">
        <v>2.5599999999999999E-4</v>
      </c>
      <c r="C23" s="2">
        <v>2.5599999999999999E-4</v>
      </c>
      <c r="D23" s="2">
        <v>99364.2</v>
      </c>
      <c r="E23" s="2">
        <v>25.4</v>
      </c>
      <c r="F23" s="2">
        <v>63.62</v>
      </c>
      <c r="G23" s="2"/>
      <c r="H23" s="2">
        <v>16</v>
      </c>
      <c r="I23" s="2">
        <v>1.16E-4</v>
      </c>
      <c r="J23" s="2">
        <v>1.16E-4</v>
      </c>
      <c r="K23" s="2">
        <v>99499.199999999997</v>
      </c>
      <c r="L23" s="2">
        <v>11.6</v>
      </c>
      <c r="M23" s="2">
        <v>67.44</v>
      </c>
      <c r="N23" s="2"/>
      <c r="O23" s="2">
        <f t="shared" si="0"/>
        <v>1.8599999999999999E-4</v>
      </c>
      <c r="P23" s="2">
        <f t="shared" si="1"/>
        <v>1.5501321532052081E-5</v>
      </c>
    </row>
    <row r="24" spans="1:16">
      <c r="A24" s="2">
        <v>17</v>
      </c>
      <c r="B24" s="2">
        <v>2.92E-4</v>
      </c>
      <c r="C24" s="2">
        <v>2.92E-4</v>
      </c>
      <c r="D24" s="2">
        <v>99338.8</v>
      </c>
      <c r="E24" s="2">
        <v>29</v>
      </c>
      <c r="F24" s="2">
        <v>62.64</v>
      </c>
      <c r="G24" s="2"/>
      <c r="H24" s="2">
        <v>17</v>
      </c>
      <c r="I24" s="2">
        <v>1.7200000000000001E-4</v>
      </c>
      <c r="J24" s="2">
        <v>1.7200000000000001E-4</v>
      </c>
      <c r="K24" s="2">
        <v>99487.6</v>
      </c>
      <c r="L24" s="2">
        <v>17.2</v>
      </c>
      <c r="M24" s="2">
        <v>66.44</v>
      </c>
      <c r="N24" s="2"/>
      <c r="O24" s="2">
        <f t="shared" si="0"/>
        <v>2.32E-4</v>
      </c>
      <c r="P24" s="2">
        <f t="shared" si="1"/>
        <v>1.933538941589763E-5</v>
      </c>
    </row>
    <row r="25" spans="1:16">
      <c r="A25" s="2">
        <v>18</v>
      </c>
      <c r="B25" s="2">
        <v>4.35E-4</v>
      </c>
      <c r="C25" s="2">
        <v>4.35E-4</v>
      </c>
      <c r="D25" s="2">
        <v>99309.9</v>
      </c>
      <c r="E25" s="2">
        <v>43.2</v>
      </c>
      <c r="F25" s="2">
        <v>61.66</v>
      </c>
      <c r="G25" s="2"/>
      <c r="H25" s="2">
        <v>18</v>
      </c>
      <c r="I25" s="2">
        <v>1.9000000000000001E-4</v>
      </c>
      <c r="J25" s="2">
        <v>1.9000000000000001E-4</v>
      </c>
      <c r="K25" s="2">
        <v>99470.399999999994</v>
      </c>
      <c r="L25" s="2">
        <v>18.899999999999999</v>
      </c>
      <c r="M25" s="2">
        <v>65.459999999999994</v>
      </c>
      <c r="N25" s="2"/>
      <c r="O25" s="2">
        <f t="shared" si="0"/>
        <v>3.1250000000000001E-4</v>
      </c>
      <c r="P25" s="2">
        <f t="shared" si="1"/>
        <v>2.6045397337748355E-5</v>
      </c>
    </row>
    <row r="26" spans="1:16">
      <c r="A26" s="2">
        <v>19</v>
      </c>
      <c r="B26" s="2">
        <v>4.8799999999999999E-4</v>
      </c>
      <c r="C26" s="2">
        <v>4.8799999999999999E-4</v>
      </c>
      <c r="D26" s="2">
        <v>99266.7</v>
      </c>
      <c r="E26" s="2">
        <v>48.5</v>
      </c>
      <c r="F26" s="2">
        <v>60.68</v>
      </c>
      <c r="G26" s="2"/>
      <c r="H26" s="2">
        <v>19</v>
      </c>
      <c r="I26" s="2">
        <v>1.9799999999999999E-4</v>
      </c>
      <c r="J26" s="2">
        <v>1.9799999999999999E-4</v>
      </c>
      <c r="K26" s="2">
        <v>99451.5</v>
      </c>
      <c r="L26" s="2">
        <v>19.7</v>
      </c>
      <c r="M26" s="2">
        <v>64.47</v>
      </c>
      <c r="N26" s="2"/>
      <c r="O26" s="2">
        <f t="shared" si="0"/>
        <v>3.4299999999999999E-4</v>
      </c>
      <c r="P26" s="2">
        <f t="shared" si="1"/>
        <v>2.8587827856529913E-5</v>
      </c>
    </row>
    <row r="27" spans="1:16">
      <c r="A27" s="2">
        <v>20</v>
      </c>
      <c r="B27" s="2">
        <v>4.4999999999999999E-4</v>
      </c>
      <c r="C27" s="2">
        <v>4.4999999999999999E-4</v>
      </c>
      <c r="D27" s="2">
        <v>99218.2</v>
      </c>
      <c r="E27" s="2">
        <v>44.6</v>
      </c>
      <c r="F27" s="2">
        <v>59.71</v>
      </c>
      <c r="G27" s="2"/>
      <c r="H27" s="2">
        <v>20</v>
      </c>
      <c r="I27" s="2">
        <v>2.1900000000000001E-4</v>
      </c>
      <c r="J27" s="2">
        <v>2.1900000000000001E-4</v>
      </c>
      <c r="K27" s="2">
        <v>99431.9</v>
      </c>
      <c r="L27" s="2">
        <v>21.7</v>
      </c>
      <c r="M27" s="2">
        <v>63.48</v>
      </c>
      <c r="N27" s="2"/>
      <c r="O27" s="2">
        <f t="shared" si="0"/>
        <v>3.345E-4</v>
      </c>
      <c r="P27" s="2">
        <f t="shared" si="1"/>
        <v>2.7879274499431617E-5</v>
      </c>
    </row>
    <row r="28" spans="1:16">
      <c r="A28" s="2">
        <v>21</v>
      </c>
      <c r="B28" s="2">
        <v>5.04E-4</v>
      </c>
      <c r="C28" s="2">
        <v>5.04E-4</v>
      </c>
      <c r="D28" s="2">
        <v>99173.5</v>
      </c>
      <c r="E28" s="2">
        <v>50</v>
      </c>
      <c r="F28" s="2">
        <v>58.74</v>
      </c>
      <c r="G28" s="2"/>
      <c r="H28" s="2">
        <v>21</v>
      </c>
      <c r="I28" s="2">
        <v>2.1699999999999999E-4</v>
      </c>
      <c r="J28" s="2">
        <v>2.1699999999999999E-4</v>
      </c>
      <c r="K28" s="2">
        <v>99410.1</v>
      </c>
      <c r="L28" s="2">
        <v>21.5</v>
      </c>
      <c r="M28" s="2">
        <v>62.49</v>
      </c>
      <c r="N28" s="2"/>
      <c r="O28" s="2">
        <f t="shared" si="0"/>
        <v>3.6049999999999998E-4</v>
      </c>
      <c r="P28" s="2">
        <f t="shared" si="1"/>
        <v>3.0046631569802251E-5</v>
      </c>
    </row>
    <row r="29" spans="1:16">
      <c r="A29" s="2">
        <v>22</v>
      </c>
      <c r="B29" s="2">
        <v>5.04E-4</v>
      </c>
      <c r="C29" s="2">
        <v>5.04E-4</v>
      </c>
      <c r="D29" s="2">
        <v>99123.6</v>
      </c>
      <c r="E29" s="2">
        <v>50</v>
      </c>
      <c r="F29" s="2">
        <v>57.77</v>
      </c>
      <c r="G29" s="2"/>
      <c r="H29" s="2">
        <v>22</v>
      </c>
      <c r="I29" s="2">
        <v>2.1000000000000001E-4</v>
      </c>
      <c r="J29" s="2">
        <v>2.1000000000000001E-4</v>
      </c>
      <c r="K29" s="2">
        <v>99388.6</v>
      </c>
      <c r="L29" s="2">
        <v>20.9</v>
      </c>
      <c r="M29" s="2">
        <v>61.51</v>
      </c>
      <c r="N29" s="2"/>
      <c r="O29" s="2">
        <f t="shared" si="0"/>
        <v>3.57E-4</v>
      </c>
      <c r="P29" s="2">
        <f t="shared" si="1"/>
        <v>2.9754868954290359E-5</v>
      </c>
    </row>
    <row r="30" spans="1:16">
      <c r="A30" s="2">
        <v>23</v>
      </c>
      <c r="B30" s="2">
        <v>5.4699999999999996E-4</v>
      </c>
      <c r="C30" s="2">
        <v>5.4699999999999996E-4</v>
      </c>
      <c r="D30" s="2">
        <v>99073.600000000006</v>
      </c>
      <c r="E30" s="2">
        <v>54.2</v>
      </c>
      <c r="F30" s="2">
        <v>56.8</v>
      </c>
      <c r="G30" s="2"/>
      <c r="H30" s="2">
        <v>23</v>
      </c>
      <c r="I30" s="2">
        <v>2.2900000000000001E-4</v>
      </c>
      <c r="J30" s="2">
        <v>2.2900000000000001E-4</v>
      </c>
      <c r="K30" s="2">
        <v>99367.7</v>
      </c>
      <c r="L30" s="2">
        <v>22.8</v>
      </c>
      <c r="M30" s="2">
        <v>60.52</v>
      </c>
      <c r="N30" s="2"/>
      <c r="O30" s="2">
        <f t="shared" si="0"/>
        <v>3.88E-4</v>
      </c>
      <c r="P30" s="2">
        <f t="shared" si="1"/>
        <v>3.2339084703569831E-5</v>
      </c>
    </row>
    <row r="31" spans="1:16">
      <c r="A31" s="2">
        <v>24</v>
      </c>
      <c r="B31" s="2">
        <v>5.3600000000000002E-4</v>
      </c>
      <c r="C31" s="2">
        <v>5.3600000000000002E-4</v>
      </c>
      <c r="D31" s="2">
        <v>99019.4</v>
      </c>
      <c r="E31" s="2">
        <v>53.1</v>
      </c>
      <c r="F31" s="2">
        <v>55.83</v>
      </c>
      <c r="G31" s="2"/>
      <c r="H31" s="2">
        <v>24</v>
      </c>
      <c r="I31" s="2">
        <v>2.5099999999999998E-4</v>
      </c>
      <c r="J31" s="2">
        <v>2.5099999999999998E-4</v>
      </c>
      <c r="K31" s="2">
        <v>99344.9</v>
      </c>
      <c r="L31" s="2">
        <v>24.9</v>
      </c>
      <c r="M31" s="2">
        <v>59.53</v>
      </c>
      <c r="N31" s="2"/>
      <c r="O31" s="2">
        <f t="shared" si="0"/>
        <v>3.9349999999999997E-4</v>
      </c>
      <c r="P31" s="2">
        <f t="shared" si="1"/>
        <v>3.2797582267596326E-5</v>
      </c>
    </row>
    <row r="32" spans="1:16">
      <c r="A32" s="2">
        <v>25</v>
      </c>
      <c r="B32" s="2">
        <v>5.3399999999999997E-4</v>
      </c>
      <c r="C32" s="2">
        <v>5.3399999999999997E-4</v>
      </c>
      <c r="D32" s="2">
        <v>98966.3</v>
      </c>
      <c r="E32" s="2">
        <v>52.9</v>
      </c>
      <c r="F32" s="2">
        <v>54.86</v>
      </c>
      <c r="G32" s="2"/>
      <c r="H32" s="2">
        <v>25</v>
      </c>
      <c r="I32" s="2">
        <v>2.3599999999999999E-4</v>
      </c>
      <c r="J32" s="2">
        <v>2.3599999999999999E-4</v>
      </c>
      <c r="K32" s="2">
        <v>99320</v>
      </c>
      <c r="L32" s="2">
        <v>23.4</v>
      </c>
      <c r="M32" s="2">
        <v>58.55</v>
      </c>
      <c r="N32" s="2"/>
      <c r="O32" s="2">
        <f t="shared" si="0"/>
        <v>3.8499999999999998E-4</v>
      </c>
      <c r="P32" s="2">
        <f t="shared" si="1"/>
        <v>3.2088996097745515E-5</v>
      </c>
    </row>
    <row r="33" spans="1:16">
      <c r="A33" s="2">
        <v>26</v>
      </c>
      <c r="B33" s="2">
        <v>6.3100000000000005E-4</v>
      </c>
      <c r="C33" s="2">
        <v>6.3100000000000005E-4</v>
      </c>
      <c r="D33" s="2">
        <v>98913.5</v>
      </c>
      <c r="E33" s="2">
        <v>62.4</v>
      </c>
      <c r="F33" s="2">
        <v>53.89</v>
      </c>
      <c r="G33" s="2"/>
      <c r="H33" s="2">
        <v>26</v>
      </c>
      <c r="I33" s="2">
        <v>2.5000000000000001E-4</v>
      </c>
      <c r="J33" s="2">
        <v>2.5000000000000001E-4</v>
      </c>
      <c r="K33" s="2">
        <v>99296.6</v>
      </c>
      <c r="L33" s="2">
        <v>24.8</v>
      </c>
      <c r="M33" s="2">
        <v>57.56</v>
      </c>
      <c r="N33" s="2"/>
      <c r="O33" s="2">
        <f t="shared" si="0"/>
        <v>4.4050000000000003E-4</v>
      </c>
      <c r="P33" s="2">
        <f t="shared" si="1"/>
        <v>3.6715746679294448E-5</v>
      </c>
    </row>
    <row r="34" spans="1:16">
      <c r="A34" s="2">
        <v>27</v>
      </c>
      <c r="B34" s="2">
        <v>5.9100000000000005E-4</v>
      </c>
      <c r="C34" s="2">
        <v>5.9000000000000003E-4</v>
      </c>
      <c r="D34" s="2">
        <v>98851.1</v>
      </c>
      <c r="E34" s="2">
        <v>58.4</v>
      </c>
      <c r="F34" s="2">
        <v>52.92</v>
      </c>
      <c r="G34" s="2"/>
      <c r="H34" s="2">
        <v>27</v>
      </c>
      <c r="I34" s="2">
        <v>3.0499999999999999E-4</v>
      </c>
      <c r="J34" s="2">
        <v>3.0499999999999999E-4</v>
      </c>
      <c r="K34" s="2">
        <v>99271.8</v>
      </c>
      <c r="L34" s="2">
        <v>30.3</v>
      </c>
      <c r="M34" s="2">
        <v>56.58</v>
      </c>
      <c r="N34" s="2"/>
      <c r="O34" s="2">
        <f t="shared" si="0"/>
        <v>4.4749999999999998E-4</v>
      </c>
      <c r="P34" s="2">
        <f t="shared" si="1"/>
        <v>3.7299317530381515E-5</v>
      </c>
    </row>
    <row r="35" spans="1:16">
      <c r="A35" s="2">
        <v>28</v>
      </c>
      <c r="B35" s="2">
        <v>6.6299999999999996E-4</v>
      </c>
      <c r="C35" s="2">
        <v>6.6299999999999996E-4</v>
      </c>
      <c r="D35" s="2">
        <v>98792.8</v>
      </c>
      <c r="E35" s="2">
        <v>65.5</v>
      </c>
      <c r="F35" s="2">
        <v>51.95</v>
      </c>
      <c r="G35" s="2"/>
      <c r="H35" s="2">
        <v>28</v>
      </c>
      <c r="I35" s="2">
        <v>3.01E-4</v>
      </c>
      <c r="J35" s="2">
        <v>3.01E-4</v>
      </c>
      <c r="K35" s="2">
        <v>99241.5</v>
      </c>
      <c r="L35" s="2">
        <v>29.9</v>
      </c>
      <c r="M35" s="2">
        <v>55.59</v>
      </c>
      <c r="N35" s="2"/>
      <c r="O35" s="2">
        <f t="shared" si="0"/>
        <v>4.8200000000000001E-4</v>
      </c>
      <c r="P35" s="2">
        <f t="shared" si="1"/>
        <v>4.0175542886267124E-5</v>
      </c>
    </row>
    <row r="36" spans="1:16">
      <c r="A36" s="2">
        <v>29</v>
      </c>
      <c r="B36" s="2">
        <v>7.2199999999999999E-4</v>
      </c>
      <c r="C36" s="2">
        <v>7.2199999999999999E-4</v>
      </c>
      <c r="D36" s="2">
        <v>98727.3</v>
      </c>
      <c r="E36" s="2">
        <v>71.3</v>
      </c>
      <c r="F36" s="2">
        <v>50.99</v>
      </c>
      <c r="G36" s="2"/>
      <c r="H36" s="2">
        <v>29</v>
      </c>
      <c r="I36" s="2">
        <v>3.3700000000000001E-4</v>
      </c>
      <c r="J36" s="2">
        <v>3.3700000000000001E-4</v>
      </c>
      <c r="K36" s="2">
        <v>99211.7</v>
      </c>
      <c r="L36" s="2">
        <v>33.4</v>
      </c>
      <c r="M36" s="2">
        <v>54.61</v>
      </c>
      <c r="N36" s="2"/>
      <c r="O36" s="2">
        <f t="shared" si="0"/>
        <v>5.2950000000000002E-4</v>
      </c>
      <c r="P36" s="2">
        <f t="shared" si="1"/>
        <v>4.4135712209958378E-5</v>
      </c>
    </row>
    <row r="37" spans="1:16">
      <c r="A37" s="2">
        <v>30</v>
      </c>
      <c r="B37" s="2">
        <v>7.5799999999999999E-4</v>
      </c>
      <c r="C37" s="2">
        <v>7.5799999999999999E-4</v>
      </c>
      <c r="D37" s="2">
        <v>98656</v>
      </c>
      <c r="E37" s="2">
        <v>74.7</v>
      </c>
      <c r="F37" s="2">
        <v>50.02</v>
      </c>
      <c r="G37" s="2"/>
      <c r="H37" s="2">
        <v>30</v>
      </c>
      <c r="I37" s="2">
        <v>3.68E-4</v>
      </c>
      <c r="J37" s="2">
        <v>3.68E-4</v>
      </c>
      <c r="K37" s="2">
        <v>99178.2</v>
      </c>
      <c r="L37" s="2">
        <v>36.5</v>
      </c>
      <c r="M37" s="2">
        <v>53.63</v>
      </c>
      <c r="N37" s="2"/>
      <c r="O37" s="2">
        <f t="shared" si="0"/>
        <v>5.6300000000000002E-4</v>
      </c>
      <c r="P37" s="2">
        <f t="shared" si="1"/>
        <v>4.6928777477917016E-5</v>
      </c>
    </row>
    <row r="38" spans="1:16">
      <c r="A38" s="2">
        <v>31</v>
      </c>
      <c r="B38" s="2">
        <v>8.4000000000000003E-4</v>
      </c>
      <c r="C38" s="2">
        <v>8.4000000000000003E-4</v>
      </c>
      <c r="D38" s="2">
        <v>98581.3</v>
      </c>
      <c r="E38" s="2">
        <v>82.8</v>
      </c>
      <c r="F38" s="2">
        <v>49.06</v>
      </c>
      <c r="G38" s="2"/>
      <c r="H38" s="2">
        <v>31</v>
      </c>
      <c r="I38" s="2">
        <v>3.9199999999999999E-4</v>
      </c>
      <c r="J38" s="2">
        <v>3.9199999999999999E-4</v>
      </c>
      <c r="K38" s="2">
        <v>99141.7</v>
      </c>
      <c r="L38" s="2">
        <v>38.799999999999997</v>
      </c>
      <c r="M38" s="2">
        <v>52.65</v>
      </c>
      <c r="N38" s="2"/>
      <c r="O38" s="2">
        <f t="shared" si="0"/>
        <v>6.1600000000000001E-4</v>
      </c>
      <c r="P38" s="2">
        <f t="shared" si="1"/>
        <v>5.1347832150883121E-5</v>
      </c>
    </row>
    <row r="39" spans="1:16">
      <c r="A39" s="2">
        <v>32</v>
      </c>
      <c r="B39" s="2">
        <v>8.7299999999999997E-4</v>
      </c>
      <c r="C39" s="2">
        <v>8.7299999999999997E-4</v>
      </c>
      <c r="D39" s="2">
        <v>98498.5</v>
      </c>
      <c r="E39" s="2">
        <v>86</v>
      </c>
      <c r="F39" s="2">
        <v>48.1</v>
      </c>
      <c r="G39" s="2"/>
      <c r="H39" s="2">
        <v>32</v>
      </c>
      <c r="I39" s="2">
        <v>4.4999999999999999E-4</v>
      </c>
      <c r="J39" s="2">
        <v>4.4999999999999999E-4</v>
      </c>
      <c r="K39" s="2">
        <v>99102.9</v>
      </c>
      <c r="L39" s="2">
        <v>44.6</v>
      </c>
      <c r="M39" s="2">
        <v>51.67</v>
      </c>
      <c r="N39" s="2"/>
      <c r="O39" s="2">
        <f t="shared" si="0"/>
        <v>6.6149999999999998E-4</v>
      </c>
      <c r="P39" s="2">
        <f t="shared" si="1"/>
        <v>5.5141720277762651E-5</v>
      </c>
    </row>
    <row r="40" spans="1:16">
      <c r="A40" s="2">
        <v>33</v>
      </c>
      <c r="B40" s="2">
        <v>9.4300000000000004E-4</v>
      </c>
      <c r="C40" s="2">
        <v>9.4300000000000004E-4</v>
      </c>
      <c r="D40" s="2">
        <v>98412.5</v>
      </c>
      <c r="E40" s="2">
        <v>92.8</v>
      </c>
      <c r="F40" s="2">
        <v>47.14</v>
      </c>
      <c r="G40" s="2"/>
      <c r="H40" s="2">
        <v>33</v>
      </c>
      <c r="I40" s="2">
        <v>4.9200000000000003E-4</v>
      </c>
      <c r="J40" s="2">
        <v>4.9200000000000003E-4</v>
      </c>
      <c r="K40" s="2">
        <v>99058.3</v>
      </c>
      <c r="L40" s="2">
        <v>48.8</v>
      </c>
      <c r="M40" s="2">
        <v>50.69</v>
      </c>
      <c r="N40" s="2"/>
      <c r="O40" s="2">
        <f t="shared" si="0"/>
        <v>7.1750000000000004E-4</v>
      </c>
      <c r="P40" s="2">
        <f t="shared" si="1"/>
        <v>5.9811338423587657E-5</v>
      </c>
    </row>
    <row r="41" spans="1:16">
      <c r="A41" s="2">
        <v>34</v>
      </c>
      <c r="B41" s="2">
        <v>1.036E-3</v>
      </c>
      <c r="C41" s="2">
        <v>1.0349999999999999E-3</v>
      </c>
      <c r="D41" s="2">
        <v>98319.7</v>
      </c>
      <c r="E41" s="2">
        <v>101.8</v>
      </c>
      <c r="F41" s="2">
        <v>46.19</v>
      </c>
      <c r="G41" s="2"/>
      <c r="H41" s="2">
        <v>34</v>
      </c>
      <c r="I41" s="2">
        <v>5.13E-4</v>
      </c>
      <c r="J41" s="2">
        <v>5.13E-4</v>
      </c>
      <c r="K41" s="2">
        <v>99009.5</v>
      </c>
      <c r="L41" s="2">
        <v>50.8</v>
      </c>
      <c r="M41" s="2">
        <v>49.72</v>
      </c>
      <c r="N41" s="2"/>
      <c r="O41" s="2">
        <f t="shared" si="0"/>
        <v>7.7399999999999995E-4</v>
      </c>
      <c r="P41" s="2">
        <f t="shared" si="1"/>
        <v>6.4522892696206036E-5</v>
      </c>
    </row>
    <row r="42" spans="1:16">
      <c r="A42" s="2">
        <v>35</v>
      </c>
      <c r="B42" s="2">
        <v>1.1119999999999999E-3</v>
      </c>
      <c r="C42" s="2">
        <v>1.111E-3</v>
      </c>
      <c r="D42" s="2">
        <v>98217.9</v>
      </c>
      <c r="E42" s="2">
        <v>109.2</v>
      </c>
      <c r="F42" s="2">
        <v>45.23</v>
      </c>
      <c r="G42" s="2"/>
      <c r="H42" s="2">
        <v>35</v>
      </c>
      <c r="I42" s="2">
        <v>6.29E-4</v>
      </c>
      <c r="J42" s="2">
        <v>6.2799999999999998E-4</v>
      </c>
      <c r="K42" s="2">
        <v>98958.7</v>
      </c>
      <c r="L42" s="2">
        <v>62.2</v>
      </c>
      <c r="M42" s="2">
        <v>48.74</v>
      </c>
      <c r="N42" s="2"/>
      <c r="O42" s="2">
        <f t="shared" si="0"/>
        <v>8.6950000000000005E-4</v>
      </c>
      <c r="P42" s="2">
        <f t="shared" si="1"/>
        <v>7.2487225539985545E-5</v>
      </c>
    </row>
    <row r="43" spans="1:16">
      <c r="A43" s="2">
        <v>36</v>
      </c>
      <c r="B43" s="2">
        <v>1.2290000000000001E-3</v>
      </c>
      <c r="C43" s="2">
        <v>1.2279999999999999E-3</v>
      </c>
      <c r="D43" s="2">
        <v>98108.800000000003</v>
      </c>
      <c r="E43" s="2">
        <v>120.5</v>
      </c>
      <c r="F43" s="2">
        <v>44.28</v>
      </c>
      <c r="G43" s="2"/>
      <c r="H43" s="2">
        <v>36</v>
      </c>
      <c r="I43" s="2">
        <v>6.3299999999999999E-4</v>
      </c>
      <c r="J43" s="2">
        <v>6.3299999999999999E-4</v>
      </c>
      <c r="K43" s="2">
        <v>98896.5</v>
      </c>
      <c r="L43" s="2">
        <v>62.6</v>
      </c>
      <c r="M43" s="2">
        <v>47.77</v>
      </c>
      <c r="N43" s="2"/>
      <c r="O43" s="2">
        <f t="shared" si="0"/>
        <v>9.304999999999999E-4</v>
      </c>
      <c r="P43" s="2">
        <f t="shared" si="1"/>
        <v>7.7574756245035736E-5</v>
      </c>
    </row>
    <row r="44" spans="1:16">
      <c r="A44" s="2">
        <v>37</v>
      </c>
      <c r="B44" s="2">
        <v>1.304E-3</v>
      </c>
      <c r="C44" s="2">
        <v>1.3029999999999999E-3</v>
      </c>
      <c r="D44" s="2">
        <v>97988.3</v>
      </c>
      <c r="E44" s="2">
        <v>127.7</v>
      </c>
      <c r="F44" s="2">
        <v>43.34</v>
      </c>
      <c r="G44" s="2"/>
      <c r="H44" s="2">
        <v>37</v>
      </c>
      <c r="I44" s="2">
        <v>7.1599999999999995E-4</v>
      </c>
      <c r="J44" s="2">
        <v>7.1599999999999995E-4</v>
      </c>
      <c r="K44" s="2">
        <v>98833.9</v>
      </c>
      <c r="L44" s="2">
        <v>70.8</v>
      </c>
      <c r="M44" s="2">
        <v>46.8</v>
      </c>
      <c r="N44" s="2"/>
      <c r="O44" s="2">
        <f t="shared" si="0"/>
        <v>1.0095E-3</v>
      </c>
      <c r="P44" s="2">
        <f t="shared" si="1"/>
        <v>8.4163948708471104E-5</v>
      </c>
    </row>
    <row r="45" spans="1:16">
      <c r="A45" s="2">
        <v>38</v>
      </c>
      <c r="B45" s="2">
        <v>1.3649999999999999E-3</v>
      </c>
      <c r="C45" s="2">
        <v>1.364E-3</v>
      </c>
      <c r="D45" s="2">
        <v>97860.6</v>
      </c>
      <c r="E45" s="2">
        <v>133.5</v>
      </c>
      <c r="F45" s="2">
        <v>42.39</v>
      </c>
      <c r="G45" s="2"/>
      <c r="H45" s="2">
        <v>38</v>
      </c>
      <c r="I45" s="2">
        <v>7.9600000000000005E-4</v>
      </c>
      <c r="J45" s="2">
        <v>7.9600000000000005E-4</v>
      </c>
      <c r="K45" s="2">
        <v>98763.1</v>
      </c>
      <c r="L45" s="2">
        <v>78.599999999999994</v>
      </c>
      <c r="M45" s="2">
        <v>45.84</v>
      </c>
      <c r="N45" s="2"/>
      <c r="O45" s="2">
        <f t="shared" si="0"/>
        <v>1.08E-3</v>
      </c>
      <c r="P45" s="2">
        <f t="shared" si="1"/>
        <v>9.0044580763670723E-5</v>
      </c>
    </row>
    <row r="46" spans="1:16">
      <c r="A46" s="2">
        <v>39</v>
      </c>
      <c r="B46" s="2">
        <v>1.519E-3</v>
      </c>
      <c r="C46" s="2">
        <v>1.518E-3</v>
      </c>
      <c r="D46" s="2">
        <v>97727.1</v>
      </c>
      <c r="E46" s="2">
        <v>148.4</v>
      </c>
      <c r="F46" s="2">
        <v>41.45</v>
      </c>
      <c r="G46" s="2"/>
      <c r="H46" s="2">
        <v>39</v>
      </c>
      <c r="I46" s="2">
        <v>9.0899999999999998E-4</v>
      </c>
      <c r="J46" s="2">
        <v>9.0799999999999995E-4</v>
      </c>
      <c r="K46" s="2">
        <v>98684.5</v>
      </c>
      <c r="L46" s="2">
        <v>89.6</v>
      </c>
      <c r="M46" s="2">
        <v>44.87</v>
      </c>
      <c r="N46" s="2"/>
      <c r="O46" s="2">
        <f t="shared" si="0"/>
        <v>1.2130000000000001E-3</v>
      </c>
      <c r="P46" s="2">
        <f t="shared" si="1"/>
        <v>1.0113957504542803E-4</v>
      </c>
    </row>
    <row r="47" spans="1:16">
      <c r="A47" s="2">
        <v>40</v>
      </c>
      <c r="B47" s="2">
        <v>1.683E-3</v>
      </c>
      <c r="C47" s="2">
        <v>1.6819999999999999E-3</v>
      </c>
      <c r="D47" s="2">
        <v>97578.7</v>
      </c>
      <c r="E47" s="2">
        <v>164.1</v>
      </c>
      <c r="F47" s="2">
        <v>40.51</v>
      </c>
      <c r="G47" s="2"/>
      <c r="H47" s="2">
        <v>40</v>
      </c>
      <c r="I47" s="2">
        <v>9.6599999999999995E-4</v>
      </c>
      <c r="J47" s="2">
        <v>9.6599999999999995E-4</v>
      </c>
      <c r="K47" s="2">
        <v>98594.9</v>
      </c>
      <c r="L47" s="2">
        <v>95.2</v>
      </c>
      <c r="M47" s="2">
        <v>43.91</v>
      </c>
      <c r="N47" s="2"/>
      <c r="O47" s="2">
        <f t="shared" si="0"/>
        <v>1.3239999999999999E-3</v>
      </c>
      <c r="P47" s="2">
        <f t="shared" si="1"/>
        <v>1.1040034396814224E-4</v>
      </c>
    </row>
    <row r="48" spans="1:16">
      <c r="A48" s="2">
        <v>41</v>
      </c>
      <c r="B48" s="2">
        <v>1.812E-3</v>
      </c>
      <c r="C48" s="2">
        <v>1.81E-3</v>
      </c>
      <c r="D48" s="2">
        <v>97414.6</v>
      </c>
      <c r="E48" s="2">
        <v>176.4</v>
      </c>
      <c r="F48" s="2">
        <v>39.58</v>
      </c>
      <c r="G48" s="2"/>
      <c r="H48" s="2">
        <v>41</v>
      </c>
      <c r="I48" s="2">
        <v>1.0579999999999999E-3</v>
      </c>
      <c r="J48" s="2">
        <v>1.057E-3</v>
      </c>
      <c r="K48" s="2">
        <v>98499.6</v>
      </c>
      <c r="L48" s="2">
        <v>104.2</v>
      </c>
      <c r="M48" s="2">
        <v>42.95</v>
      </c>
      <c r="N48" s="2"/>
      <c r="O48" s="2">
        <f t="shared" si="0"/>
        <v>1.4334999999999999E-3</v>
      </c>
      <c r="P48" s="2">
        <f t="shared" si="1"/>
        <v>1.1953689190402628E-4</v>
      </c>
    </row>
    <row r="49" spans="1:16">
      <c r="A49" s="2">
        <v>42</v>
      </c>
      <c r="B49" s="2">
        <v>1.8910000000000001E-3</v>
      </c>
      <c r="C49" s="2">
        <v>1.89E-3</v>
      </c>
      <c r="D49" s="2">
        <v>97238.3</v>
      </c>
      <c r="E49" s="2">
        <v>183.8</v>
      </c>
      <c r="F49" s="2">
        <v>38.65</v>
      </c>
      <c r="G49" s="2"/>
      <c r="H49" s="2">
        <v>42</v>
      </c>
      <c r="I49" s="2">
        <v>1.201E-3</v>
      </c>
      <c r="J49" s="2">
        <v>1.1999999999999999E-3</v>
      </c>
      <c r="K49" s="2">
        <v>98395.5</v>
      </c>
      <c r="L49" s="2">
        <v>118.1</v>
      </c>
      <c r="M49" s="2">
        <v>42</v>
      </c>
      <c r="N49" s="2"/>
      <c r="O49" s="2">
        <f t="shared" si="0"/>
        <v>1.5449999999999999E-3</v>
      </c>
      <c r="P49" s="2">
        <f t="shared" si="1"/>
        <v>1.2884126118872796E-4</v>
      </c>
    </row>
    <row r="50" spans="1:16">
      <c r="A50" s="2">
        <v>43</v>
      </c>
      <c r="B50" s="2">
        <v>2.0769999999999999E-3</v>
      </c>
      <c r="C50" s="2">
        <v>2.075E-3</v>
      </c>
      <c r="D50" s="2">
        <v>97054.5</v>
      </c>
      <c r="E50" s="2">
        <v>201.3</v>
      </c>
      <c r="F50" s="2">
        <v>37.72</v>
      </c>
      <c r="G50" s="2"/>
      <c r="H50" s="2">
        <v>43</v>
      </c>
      <c r="I50" s="2">
        <v>1.2149999999999999E-3</v>
      </c>
      <c r="J50" s="2">
        <v>1.214E-3</v>
      </c>
      <c r="K50" s="2">
        <v>98277.4</v>
      </c>
      <c r="L50" s="2">
        <v>119.3</v>
      </c>
      <c r="M50" s="2">
        <v>41.05</v>
      </c>
      <c r="N50" s="2"/>
      <c r="O50" s="2">
        <f t="shared" si="0"/>
        <v>1.6445000000000001E-3</v>
      </c>
      <c r="P50" s="2">
        <f t="shared" si="1"/>
        <v>1.3714506762252388E-4</v>
      </c>
    </row>
    <row r="51" spans="1:16">
      <c r="A51" s="2">
        <v>44</v>
      </c>
      <c r="B51" s="2">
        <v>2.1719999999999999E-3</v>
      </c>
      <c r="C51" s="2">
        <v>2.1700000000000001E-3</v>
      </c>
      <c r="D51" s="2">
        <v>96853.2</v>
      </c>
      <c r="E51" s="2">
        <v>210.1</v>
      </c>
      <c r="F51" s="2">
        <v>36.799999999999997</v>
      </c>
      <c r="G51" s="2"/>
      <c r="H51" s="2">
        <v>44</v>
      </c>
      <c r="I51" s="2">
        <v>1.366E-3</v>
      </c>
      <c r="J51" s="2">
        <v>1.3649999999999999E-3</v>
      </c>
      <c r="K51" s="2">
        <v>98158.1</v>
      </c>
      <c r="L51" s="2">
        <v>134</v>
      </c>
      <c r="M51" s="2">
        <v>40.1</v>
      </c>
      <c r="N51" s="2"/>
      <c r="O51" s="2">
        <f t="shared" si="0"/>
        <v>1.7675E-3</v>
      </c>
      <c r="P51" s="2">
        <f t="shared" si="1"/>
        <v>1.4741112317573357E-4</v>
      </c>
    </row>
    <row r="52" spans="1:16">
      <c r="A52" s="2">
        <v>45</v>
      </c>
      <c r="B52" s="2">
        <v>2.4329999999999998E-3</v>
      </c>
      <c r="C52" s="2">
        <v>2.4299999999999999E-3</v>
      </c>
      <c r="D52" s="2">
        <v>96643</v>
      </c>
      <c r="E52" s="2">
        <v>234.8</v>
      </c>
      <c r="F52" s="2">
        <v>35.880000000000003</v>
      </c>
      <c r="G52" s="2"/>
      <c r="H52" s="2">
        <v>45</v>
      </c>
      <c r="I52" s="2">
        <v>1.389E-3</v>
      </c>
      <c r="J52" s="2">
        <v>1.3879999999999999E-3</v>
      </c>
      <c r="K52" s="2">
        <v>98024.2</v>
      </c>
      <c r="L52" s="2">
        <v>136</v>
      </c>
      <c r="M52" s="2">
        <v>39.15</v>
      </c>
      <c r="N52" s="2"/>
      <c r="O52" s="2">
        <f t="shared" si="0"/>
        <v>1.9089999999999999E-3</v>
      </c>
      <c r="P52" s="2">
        <f t="shared" si="1"/>
        <v>1.5922269462131933E-4</v>
      </c>
    </row>
    <row r="53" spans="1:16">
      <c r="A53" s="2">
        <v>46</v>
      </c>
      <c r="B53" s="2">
        <v>2.6199999999999999E-3</v>
      </c>
      <c r="C53" s="2">
        <v>2.617E-3</v>
      </c>
      <c r="D53" s="2">
        <v>96408.2</v>
      </c>
      <c r="E53" s="2">
        <v>252.3</v>
      </c>
      <c r="F53" s="2">
        <v>34.97</v>
      </c>
      <c r="G53" s="2"/>
      <c r="H53" s="2">
        <v>46</v>
      </c>
      <c r="I53" s="2">
        <v>1.552E-3</v>
      </c>
      <c r="J53" s="2">
        <v>1.5510000000000001E-3</v>
      </c>
      <c r="K53" s="2">
        <v>97888.1</v>
      </c>
      <c r="L53" s="2">
        <v>151.80000000000001</v>
      </c>
      <c r="M53" s="2">
        <v>38.21</v>
      </c>
      <c r="N53" s="2"/>
      <c r="O53" s="2">
        <f t="shared" si="0"/>
        <v>2.0839999999999999E-3</v>
      </c>
      <c r="P53" s="2">
        <f t="shared" si="1"/>
        <v>1.7383276847471318E-4</v>
      </c>
    </row>
    <row r="54" spans="1:16">
      <c r="A54" s="2">
        <v>47</v>
      </c>
      <c r="B54" s="2">
        <v>2.846E-3</v>
      </c>
      <c r="C54" s="2">
        <v>2.8419999999999999E-3</v>
      </c>
      <c r="D54" s="2">
        <v>96156</v>
      </c>
      <c r="E54" s="2">
        <v>273.3</v>
      </c>
      <c r="F54" s="2">
        <v>34.06</v>
      </c>
      <c r="G54" s="2"/>
      <c r="H54" s="2">
        <v>47</v>
      </c>
      <c r="I54" s="2">
        <v>1.7780000000000001E-3</v>
      </c>
      <c r="J54" s="2">
        <v>1.7769999999999999E-3</v>
      </c>
      <c r="K54" s="2">
        <v>97736.3</v>
      </c>
      <c r="L54" s="2">
        <v>173.6</v>
      </c>
      <c r="M54" s="2">
        <v>37.26</v>
      </c>
      <c r="N54" s="2"/>
      <c r="O54" s="2">
        <f t="shared" si="0"/>
        <v>2.3094999999999999E-3</v>
      </c>
      <c r="P54" s="2">
        <f t="shared" si="1"/>
        <v>1.9266235558923483E-4</v>
      </c>
    </row>
    <row r="55" spans="1:16">
      <c r="A55" s="2">
        <v>48</v>
      </c>
      <c r="B55" s="2">
        <v>3.0760000000000002E-3</v>
      </c>
      <c r="C55" s="2">
        <v>3.0709999999999999E-3</v>
      </c>
      <c r="D55" s="2">
        <v>95882.7</v>
      </c>
      <c r="E55" s="2">
        <v>294.39999999999998</v>
      </c>
      <c r="F55" s="2">
        <v>33.15</v>
      </c>
      <c r="G55" s="2"/>
      <c r="H55" s="2">
        <v>48</v>
      </c>
      <c r="I55" s="2">
        <v>1.905E-3</v>
      </c>
      <c r="J55" s="2">
        <v>1.903E-3</v>
      </c>
      <c r="K55" s="2">
        <v>97562.6</v>
      </c>
      <c r="L55" s="2">
        <v>185.7</v>
      </c>
      <c r="M55" s="2">
        <v>36.33</v>
      </c>
      <c r="N55" s="2"/>
      <c r="O55" s="2">
        <f t="shared" si="0"/>
        <v>2.4870000000000001E-3</v>
      </c>
      <c r="P55" s="2">
        <f t="shared" si="1"/>
        <v>2.0748661514002897E-4</v>
      </c>
    </row>
    <row r="56" spans="1:16">
      <c r="A56" s="2">
        <v>49</v>
      </c>
      <c r="B56" s="2">
        <v>3.3809999999999999E-3</v>
      </c>
      <c r="C56" s="2">
        <v>3.3760000000000001E-3</v>
      </c>
      <c r="D56" s="2">
        <v>95588.2</v>
      </c>
      <c r="E56" s="2">
        <v>322.7</v>
      </c>
      <c r="F56" s="2">
        <v>32.25</v>
      </c>
      <c r="G56" s="2"/>
      <c r="H56" s="2">
        <v>49</v>
      </c>
      <c r="I56" s="2">
        <v>2.1069999999999999E-3</v>
      </c>
      <c r="J56" s="2">
        <v>2.104E-3</v>
      </c>
      <c r="K56" s="2">
        <v>97377</v>
      </c>
      <c r="L56" s="2">
        <v>204.9</v>
      </c>
      <c r="M56" s="2">
        <v>35.4</v>
      </c>
      <c r="N56" s="2"/>
      <c r="O56" s="2">
        <f t="shared" si="0"/>
        <v>2.7400000000000002E-3</v>
      </c>
      <c r="P56" s="2">
        <f t="shared" si="1"/>
        <v>2.286205849189038E-4</v>
      </c>
    </row>
    <row r="57" spans="1:16">
      <c r="A57" s="2">
        <v>50</v>
      </c>
      <c r="B57" s="2">
        <v>3.7269999999999998E-3</v>
      </c>
      <c r="C57" s="2">
        <v>3.7200000000000002E-3</v>
      </c>
      <c r="D57" s="2">
        <v>95265.600000000006</v>
      </c>
      <c r="E57" s="2">
        <v>354.4</v>
      </c>
      <c r="F57" s="2">
        <v>31.36</v>
      </c>
      <c r="G57" s="2"/>
      <c r="H57" s="2">
        <v>50</v>
      </c>
      <c r="I57" s="2">
        <v>2.3749999999999999E-3</v>
      </c>
      <c r="J57" s="2">
        <v>2.372E-3</v>
      </c>
      <c r="K57" s="2">
        <v>97172.1</v>
      </c>
      <c r="L57" s="2">
        <v>230.5</v>
      </c>
      <c r="M57" s="2">
        <v>34.47</v>
      </c>
      <c r="N57" s="2"/>
      <c r="O57" s="2">
        <f t="shared" si="0"/>
        <v>3.0460000000000001E-3</v>
      </c>
      <c r="P57" s="2">
        <f t="shared" si="1"/>
        <v>2.5418839698332363E-4</v>
      </c>
    </row>
    <row r="58" spans="1:16">
      <c r="A58" s="2">
        <v>51</v>
      </c>
      <c r="B58" s="2">
        <v>4.0289999999999996E-3</v>
      </c>
      <c r="C58" s="2">
        <v>4.0210000000000003E-3</v>
      </c>
      <c r="D58" s="2">
        <v>94911.1</v>
      </c>
      <c r="E58" s="2">
        <v>381.6</v>
      </c>
      <c r="F58" s="2">
        <v>30.48</v>
      </c>
      <c r="G58" s="2"/>
      <c r="H58" s="2">
        <v>51</v>
      </c>
      <c r="I58" s="2">
        <v>2.5339999999999998E-3</v>
      </c>
      <c r="J58" s="2">
        <v>2.5309999999999998E-3</v>
      </c>
      <c r="K58" s="2">
        <v>96941.6</v>
      </c>
      <c r="L58" s="2">
        <v>245.3</v>
      </c>
      <c r="M58" s="2">
        <v>33.549999999999997</v>
      </c>
      <c r="N58" s="2"/>
      <c r="O58" s="2">
        <f t="shared" si="0"/>
        <v>3.2760000000000003E-3</v>
      </c>
      <c r="P58" s="2">
        <f t="shared" si="1"/>
        <v>2.7341076949527476E-4</v>
      </c>
    </row>
    <row r="59" spans="1:16">
      <c r="A59" s="2">
        <v>52</v>
      </c>
      <c r="B59" s="2">
        <v>4.2979999999999997E-3</v>
      </c>
      <c r="C59" s="2">
        <v>4.2880000000000001E-3</v>
      </c>
      <c r="D59" s="2">
        <v>94529.5</v>
      </c>
      <c r="E59" s="2">
        <v>405.4</v>
      </c>
      <c r="F59" s="2">
        <v>29.6</v>
      </c>
      <c r="G59" s="2"/>
      <c r="H59" s="2">
        <v>52</v>
      </c>
      <c r="I59" s="2">
        <v>2.6419999999999998E-3</v>
      </c>
      <c r="J59" s="2">
        <v>2.6389999999999999E-3</v>
      </c>
      <c r="K59" s="2">
        <v>96696.3</v>
      </c>
      <c r="L59" s="2">
        <v>255.1</v>
      </c>
      <c r="M59" s="2">
        <v>32.64</v>
      </c>
      <c r="N59" s="2"/>
      <c r="O59" s="2">
        <f t="shared" si="0"/>
        <v>3.4635E-3</v>
      </c>
      <c r="P59" s="2">
        <f t="shared" si="1"/>
        <v>2.8908419055972967E-4</v>
      </c>
    </row>
    <row r="60" spans="1:16">
      <c r="A60" s="2">
        <v>53</v>
      </c>
      <c r="B60" s="2">
        <v>4.5700000000000003E-3</v>
      </c>
      <c r="C60" s="2">
        <v>4.5599999999999998E-3</v>
      </c>
      <c r="D60" s="2">
        <v>94124.1</v>
      </c>
      <c r="E60" s="2">
        <v>429.2</v>
      </c>
      <c r="F60" s="2">
        <v>28.72</v>
      </c>
      <c r="G60" s="2"/>
      <c r="H60" s="2">
        <v>53</v>
      </c>
      <c r="I60" s="2">
        <v>2.8400000000000001E-3</v>
      </c>
      <c r="J60" s="2">
        <v>2.836E-3</v>
      </c>
      <c r="K60" s="2">
        <v>96441.1</v>
      </c>
      <c r="L60" s="2">
        <v>273.5</v>
      </c>
      <c r="M60" s="2">
        <v>31.72</v>
      </c>
      <c r="N60" s="2"/>
      <c r="O60" s="2">
        <f t="shared" si="0"/>
        <v>3.6979999999999999E-3</v>
      </c>
      <c r="P60" s="2">
        <f t="shared" si="1"/>
        <v>3.0869022085477926E-4</v>
      </c>
    </row>
    <row r="61" spans="1:16">
      <c r="A61" s="2">
        <v>54</v>
      </c>
      <c r="B61" s="2">
        <v>4.9389999999999998E-3</v>
      </c>
      <c r="C61" s="2">
        <v>4.927E-3</v>
      </c>
      <c r="D61" s="2">
        <v>93694.9</v>
      </c>
      <c r="E61" s="2">
        <v>461.6</v>
      </c>
      <c r="F61" s="2">
        <v>27.85</v>
      </c>
      <c r="G61" s="2"/>
      <c r="H61" s="2">
        <v>54</v>
      </c>
      <c r="I61" s="2">
        <v>3.1180000000000001E-3</v>
      </c>
      <c r="J61" s="2">
        <v>3.114E-3</v>
      </c>
      <c r="K61" s="2">
        <v>96167.6</v>
      </c>
      <c r="L61" s="2">
        <v>299.39999999999998</v>
      </c>
      <c r="M61" s="2">
        <v>30.81</v>
      </c>
      <c r="N61" s="2"/>
      <c r="O61" s="2">
        <f t="shared" si="0"/>
        <v>4.0204999999999998E-3</v>
      </c>
      <c r="P61" s="2">
        <f t="shared" si="1"/>
        <v>3.356606482449731E-4</v>
      </c>
    </row>
    <row r="62" spans="1:16">
      <c r="A62" s="2">
        <v>55</v>
      </c>
      <c r="B62" s="2">
        <v>5.3280000000000003E-3</v>
      </c>
      <c r="C62" s="2">
        <v>5.3140000000000001E-3</v>
      </c>
      <c r="D62" s="2">
        <v>93233.3</v>
      </c>
      <c r="E62" s="2">
        <v>495.4</v>
      </c>
      <c r="F62" s="2">
        <v>26.99</v>
      </c>
      <c r="G62" s="2"/>
      <c r="H62" s="2">
        <v>55</v>
      </c>
      <c r="I62" s="2">
        <v>3.3779999999999999E-3</v>
      </c>
      <c r="J62" s="2">
        <v>3.372E-3</v>
      </c>
      <c r="K62" s="2">
        <v>95868.2</v>
      </c>
      <c r="L62" s="2">
        <v>323.3</v>
      </c>
      <c r="M62" s="2">
        <v>29.9</v>
      </c>
      <c r="N62" s="2"/>
      <c r="O62" s="2">
        <f t="shared" si="0"/>
        <v>4.3429999999999996E-3</v>
      </c>
      <c r="P62" s="2">
        <f t="shared" si="1"/>
        <v>3.6263908214140272E-4</v>
      </c>
    </row>
    <row r="63" spans="1:16">
      <c r="A63" s="2">
        <v>56</v>
      </c>
      <c r="B63" s="2">
        <v>5.7590000000000002E-3</v>
      </c>
      <c r="C63" s="2">
        <v>5.7429999999999998E-3</v>
      </c>
      <c r="D63" s="2">
        <v>92737.9</v>
      </c>
      <c r="E63" s="2">
        <v>532.6</v>
      </c>
      <c r="F63" s="2">
        <v>26.13</v>
      </c>
      <c r="G63" s="2"/>
      <c r="H63" s="2">
        <v>56</v>
      </c>
      <c r="I63" s="2">
        <v>3.722E-3</v>
      </c>
      <c r="J63" s="2">
        <v>3.715E-3</v>
      </c>
      <c r="K63" s="2">
        <v>95544.9</v>
      </c>
      <c r="L63" s="2">
        <v>355</v>
      </c>
      <c r="M63" s="2">
        <v>29</v>
      </c>
      <c r="N63" s="2"/>
      <c r="O63" s="2">
        <f t="shared" si="0"/>
        <v>4.7289999999999997E-3</v>
      </c>
      <c r="P63" s="2">
        <f t="shared" si="1"/>
        <v>3.949400821460225E-4</v>
      </c>
    </row>
    <row r="64" spans="1:16">
      <c r="A64" s="2">
        <v>57</v>
      </c>
      <c r="B64" s="2">
        <v>6.2810000000000001E-3</v>
      </c>
      <c r="C64" s="2">
        <v>6.2620000000000002E-3</v>
      </c>
      <c r="D64" s="2">
        <v>92205.4</v>
      </c>
      <c r="E64" s="2">
        <v>577.4</v>
      </c>
      <c r="F64" s="2">
        <v>25.28</v>
      </c>
      <c r="G64" s="2"/>
      <c r="H64" s="2">
        <v>57</v>
      </c>
      <c r="I64" s="2">
        <v>4.052E-3</v>
      </c>
      <c r="J64" s="2">
        <v>4.0439999999999999E-3</v>
      </c>
      <c r="K64" s="2">
        <v>95190</v>
      </c>
      <c r="L64" s="2">
        <v>384.9</v>
      </c>
      <c r="M64" s="2">
        <v>28.11</v>
      </c>
      <c r="N64" s="2"/>
      <c r="O64" s="2">
        <f t="shared" si="0"/>
        <v>5.1529999999999996E-3</v>
      </c>
      <c r="P64" s="2">
        <f t="shared" si="1"/>
        <v>4.3043421088762024E-4</v>
      </c>
    </row>
    <row r="65" spans="1:16">
      <c r="A65" s="2">
        <v>58</v>
      </c>
      <c r="B65" s="2">
        <v>6.7369999999999999E-3</v>
      </c>
      <c r="C65" s="2">
        <v>6.7140000000000003E-3</v>
      </c>
      <c r="D65" s="2">
        <v>91628</v>
      </c>
      <c r="E65" s="2">
        <v>615.20000000000005</v>
      </c>
      <c r="F65" s="2">
        <v>24.43</v>
      </c>
      <c r="G65" s="2"/>
      <c r="H65" s="2">
        <v>58</v>
      </c>
      <c r="I65" s="2">
        <v>4.3090000000000003E-3</v>
      </c>
      <c r="J65" s="2">
        <v>4.3E-3</v>
      </c>
      <c r="K65" s="2">
        <v>94805</v>
      </c>
      <c r="L65" s="2">
        <v>407.7</v>
      </c>
      <c r="M65" s="2">
        <v>27.22</v>
      </c>
      <c r="N65" s="2"/>
      <c r="O65" s="2">
        <f t="shared" si="0"/>
        <v>5.5069999999999997E-3</v>
      </c>
      <c r="P65" s="2">
        <f t="shared" si="1"/>
        <v>4.6007908329559477E-4</v>
      </c>
    </row>
    <row r="66" spans="1:16">
      <c r="A66" s="2">
        <v>59</v>
      </c>
      <c r="B66" s="2">
        <v>7.2639999999999996E-3</v>
      </c>
      <c r="C66" s="2">
        <v>7.2370000000000004E-3</v>
      </c>
      <c r="D66" s="2">
        <v>91012.800000000003</v>
      </c>
      <c r="E66" s="2">
        <v>658.7</v>
      </c>
      <c r="F66" s="2">
        <v>23.59</v>
      </c>
      <c r="G66" s="2"/>
      <c r="H66" s="2">
        <v>59</v>
      </c>
      <c r="I66" s="2">
        <v>4.633E-3</v>
      </c>
      <c r="J66" s="2">
        <v>4.6220000000000002E-3</v>
      </c>
      <c r="K66" s="2">
        <v>94397.4</v>
      </c>
      <c r="L66" s="2">
        <v>436.3</v>
      </c>
      <c r="M66" s="2">
        <v>26.34</v>
      </c>
      <c r="N66" s="2"/>
      <c r="O66" s="2">
        <f t="shared" si="0"/>
        <v>5.9295000000000007E-3</v>
      </c>
      <c r="P66" s="2">
        <f t="shared" si="1"/>
        <v>4.9547298664465167E-4</v>
      </c>
    </row>
    <row r="67" spans="1:16">
      <c r="A67" s="2">
        <v>60</v>
      </c>
      <c r="B67" s="2">
        <v>7.7949999999999998E-3</v>
      </c>
      <c r="C67" s="2">
        <v>7.7650000000000002E-3</v>
      </c>
      <c r="D67" s="2">
        <v>90354.1</v>
      </c>
      <c r="E67" s="2">
        <v>701.6</v>
      </c>
      <c r="F67" s="2">
        <v>22.76</v>
      </c>
      <c r="G67" s="2"/>
      <c r="H67" s="2">
        <v>60</v>
      </c>
      <c r="I67" s="2">
        <v>5.019E-3</v>
      </c>
      <c r="J67" s="2">
        <v>5.0070000000000002E-3</v>
      </c>
      <c r="K67" s="2">
        <v>93961</v>
      </c>
      <c r="L67" s="2">
        <v>470.4</v>
      </c>
      <c r="M67" s="2">
        <v>25.46</v>
      </c>
      <c r="N67" s="2"/>
      <c r="O67" s="2">
        <f t="shared" si="0"/>
        <v>6.3860000000000002E-3</v>
      </c>
      <c r="P67" s="2">
        <f t="shared" si="1"/>
        <v>5.3373065884521065E-4</v>
      </c>
    </row>
    <row r="68" spans="1:16">
      <c r="A68" s="2">
        <v>61</v>
      </c>
      <c r="B68" s="2">
        <v>8.6099999999999996E-3</v>
      </c>
      <c r="C68" s="2">
        <v>8.5730000000000008E-3</v>
      </c>
      <c r="D68" s="2">
        <v>89652.5</v>
      </c>
      <c r="E68" s="2">
        <v>768.6</v>
      </c>
      <c r="F68" s="2">
        <v>21.94</v>
      </c>
      <c r="G68" s="2"/>
      <c r="H68" s="2">
        <v>61</v>
      </c>
      <c r="I68" s="2">
        <v>5.4320000000000002E-3</v>
      </c>
      <c r="J68" s="2">
        <v>5.4180000000000001E-3</v>
      </c>
      <c r="K68" s="2">
        <v>93490.6</v>
      </c>
      <c r="L68" s="2">
        <v>506.5</v>
      </c>
      <c r="M68" s="2">
        <v>24.58</v>
      </c>
      <c r="N68" s="2"/>
      <c r="O68" s="2">
        <f t="shared" si="0"/>
        <v>6.9955E-3</v>
      </c>
      <c r="P68" s="2">
        <f t="shared" si="1"/>
        <v>5.8483585223756407E-4</v>
      </c>
    </row>
    <row r="69" spans="1:16">
      <c r="A69" s="2">
        <v>62</v>
      </c>
      <c r="B69" s="2">
        <v>9.3299999999999998E-3</v>
      </c>
      <c r="C69" s="2">
        <v>9.2860000000000009E-3</v>
      </c>
      <c r="D69" s="2">
        <v>88883.9</v>
      </c>
      <c r="E69" s="2">
        <v>825.4</v>
      </c>
      <c r="F69" s="2">
        <v>21.12</v>
      </c>
      <c r="G69" s="2"/>
      <c r="H69" s="2">
        <v>62</v>
      </c>
      <c r="I69" s="2">
        <v>6.0720000000000001E-3</v>
      </c>
      <c r="J69" s="2">
        <v>6.0530000000000002E-3</v>
      </c>
      <c r="K69" s="2">
        <v>92984.1</v>
      </c>
      <c r="L69" s="2">
        <v>562.9</v>
      </c>
      <c r="M69" s="2">
        <v>23.72</v>
      </c>
      <c r="N69" s="2"/>
      <c r="O69" s="2">
        <f t="shared" si="0"/>
        <v>7.669500000000001E-3</v>
      </c>
      <c r="P69" s="2">
        <f t="shared" si="1"/>
        <v>6.413827146092288E-4</v>
      </c>
    </row>
    <row r="70" spans="1:16">
      <c r="A70" s="2">
        <v>63</v>
      </c>
      <c r="B70" s="2">
        <v>1.0071E-2</v>
      </c>
      <c r="C70" s="2">
        <v>1.0019999999999999E-2</v>
      </c>
      <c r="D70" s="2">
        <v>88058.5</v>
      </c>
      <c r="E70" s="2">
        <v>882.4</v>
      </c>
      <c r="F70" s="2">
        <v>20.309999999999999</v>
      </c>
      <c r="G70" s="2"/>
      <c r="H70" s="2">
        <v>63</v>
      </c>
      <c r="I70" s="2">
        <v>6.7149999999999996E-3</v>
      </c>
      <c r="J70" s="2">
        <v>6.692E-3</v>
      </c>
      <c r="K70" s="2">
        <v>92421.3</v>
      </c>
      <c r="L70" s="2">
        <v>618.5</v>
      </c>
      <c r="M70" s="2">
        <v>22.86</v>
      </c>
      <c r="N70" s="2"/>
      <c r="O70" s="2">
        <f t="shared" si="0"/>
        <v>8.3559999999999988E-3</v>
      </c>
      <c r="P70" s="2">
        <f t="shared" si="1"/>
        <v>6.9901449833820184E-4</v>
      </c>
    </row>
    <row r="71" spans="1:16">
      <c r="A71" s="2">
        <v>64</v>
      </c>
      <c r="B71" s="2">
        <v>1.1219E-2</v>
      </c>
      <c r="C71" s="2">
        <v>1.1157E-2</v>
      </c>
      <c r="D71" s="2">
        <v>87176.1</v>
      </c>
      <c r="E71" s="2">
        <v>972.6</v>
      </c>
      <c r="F71" s="2">
        <v>19.52</v>
      </c>
      <c r="G71" s="2"/>
      <c r="H71" s="2">
        <v>64</v>
      </c>
      <c r="I71" s="2">
        <v>7.326E-3</v>
      </c>
      <c r="J71" s="2">
        <v>7.2989999999999999E-3</v>
      </c>
      <c r="K71" s="2">
        <v>91802.8</v>
      </c>
      <c r="L71" s="2">
        <v>670.1</v>
      </c>
      <c r="M71" s="2">
        <v>22.01</v>
      </c>
      <c r="N71" s="2"/>
      <c r="O71" s="2">
        <f t="shared" si="0"/>
        <v>9.2280000000000001E-3</v>
      </c>
      <c r="P71" s="2">
        <f t="shared" si="1"/>
        <v>7.7227179103778187E-4</v>
      </c>
    </row>
    <row r="72" spans="1:16">
      <c r="A72" s="4">
        <v>65</v>
      </c>
      <c r="B72" s="4">
        <v>1.2026E-2</v>
      </c>
      <c r="C72" s="4">
        <v>1.1953999999999999E-2</v>
      </c>
      <c r="D72" s="4">
        <v>86203.5</v>
      </c>
      <c r="E72" s="4">
        <v>1030.5</v>
      </c>
      <c r="F72" s="4">
        <v>18.73</v>
      </c>
      <c r="G72" s="4"/>
      <c r="H72" s="4">
        <v>65</v>
      </c>
      <c r="I72" s="4">
        <v>7.9299999999999995E-3</v>
      </c>
      <c r="J72" s="4">
        <v>7.8980000000000005E-3</v>
      </c>
      <c r="K72" s="4">
        <v>91132.7</v>
      </c>
      <c r="L72" s="4">
        <v>719.8</v>
      </c>
      <c r="M72" s="4">
        <v>21.17</v>
      </c>
      <c r="N72" s="4"/>
      <c r="O72" s="2">
        <f t="shared" ref="O72:O107" si="2">(C72+J72)/2</f>
        <v>9.9260000000000008E-3</v>
      </c>
      <c r="P72" s="2">
        <f t="shared" ref="P72:P107" si="3">1-(1-O72)^(1/12)</f>
        <v>8.3095383084330621E-4</v>
      </c>
    </row>
    <row r="73" spans="1:16">
      <c r="A73" s="2">
        <v>66</v>
      </c>
      <c r="B73" s="2">
        <v>1.3488E-2</v>
      </c>
      <c r="C73" s="2">
        <v>1.3398E-2</v>
      </c>
      <c r="D73" s="2">
        <v>85173</v>
      </c>
      <c r="E73" s="2">
        <v>1141.2</v>
      </c>
      <c r="F73" s="2">
        <v>17.95</v>
      </c>
      <c r="G73" s="2"/>
      <c r="H73" s="2">
        <v>66</v>
      </c>
      <c r="I73" s="2">
        <v>8.9499999999999996E-3</v>
      </c>
      <c r="J73" s="2">
        <v>8.9099999999999995E-3</v>
      </c>
      <c r="K73" s="2">
        <v>90412.9</v>
      </c>
      <c r="L73" s="2">
        <v>805.6</v>
      </c>
      <c r="M73" s="2">
        <v>20.329999999999998</v>
      </c>
      <c r="N73" s="2"/>
      <c r="O73" s="2">
        <f t="shared" si="2"/>
        <v>1.1154000000000001E-2</v>
      </c>
      <c r="P73" s="2">
        <f t="shared" si="3"/>
        <v>9.342859765884004E-4</v>
      </c>
    </row>
    <row r="74" spans="1:16">
      <c r="A74" s="2">
        <v>67</v>
      </c>
      <c r="B74" s="2">
        <v>1.4886E-2</v>
      </c>
      <c r="C74" s="2">
        <v>1.4775999999999999E-2</v>
      </c>
      <c r="D74" s="2">
        <v>84031.9</v>
      </c>
      <c r="E74" s="2">
        <v>1241.7</v>
      </c>
      <c r="F74" s="2">
        <v>17.190000000000001</v>
      </c>
      <c r="G74" s="2"/>
      <c r="H74" s="2">
        <v>67</v>
      </c>
      <c r="I74" s="2">
        <v>9.9170000000000005E-3</v>
      </c>
      <c r="J74" s="2">
        <v>9.868E-3</v>
      </c>
      <c r="K74" s="2">
        <v>89607.3</v>
      </c>
      <c r="L74" s="2">
        <v>884.3</v>
      </c>
      <c r="M74" s="2">
        <v>19.510000000000002</v>
      </c>
      <c r="N74" s="2"/>
      <c r="O74" s="2">
        <f t="shared" si="2"/>
        <v>1.2322E-2</v>
      </c>
      <c r="P74" s="2">
        <f t="shared" si="3"/>
        <v>1.0326785273163663E-3</v>
      </c>
    </row>
    <row r="75" spans="1:16">
      <c r="A75" s="2">
        <v>68</v>
      </c>
      <c r="B75" s="2">
        <v>1.6379000000000001E-2</v>
      </c>
      <c r="C75" s="2">
        <v>1.6246E-2</v>
      </c>
      <c r="D75" s="2">
        <v>82790.2</v>
      </c>
      <c r="E75" s="2">
        <v>1345</v>
      </c>
      <c r="F75" s="2">
        <v>16.440000000000001</v>
      </c>
      <c r="G75" s="2"/>
      <c r="H75" s="2">
        <v>68</v>
      </c>
      <c r="I75" s="2">
        <v>1.0859000000000001E-2</v>
      </c>
      <c r="J75" s="2">
        <v>1.0800000000000001E-2</v>
      </c>
      <c r="K75" s="2">
        <v>88723.1</v>
      </c>
      <c r="L75" s="2">
        <v>958.2</v>
      </c>
      <c r="M75" s="2">
        <v>18.7</v>
      </c>
      <c r="N75" s="2"/>
      <c r="O75" s="2">
        <f t="shared" si="2"/>
        <v>1.3523E-2</v>
      </c>
      <c r="P75" s="2">
        <f t="shared" si="3"/>
        <v>1.1339622900035096E-3</v>
      </c>
    </row>
    <row r="76" spans="1:16">
      <c r="A76" s="2">
        <v>69</v>
      </c>
      <c r="B76" s="2">
        <v>1.7753000000000001E-2</v>
      </c>
      <c r="C76" s="2">
        <v>1.7597000000000002E-2</v>
      </c>
      <c r="D76" s="2">
        <v>81445.2</v>
      </c>
      <c r="E76" s="2">
        <v>1433.2</v>
      </c>
      <c r="F76" s="2">
        <v>15.7</v>
      </c>
      <c r="G76" s="2"/>
      <c r="H76" s="2">
        <v>69</v>
      </c>
      <c r="I76" s="2">
        <v>1.1691999999999999E-2</v>
      </c>
      <c r="J76" s="2">
        <v>1.1624000000000001E-2</v>
      </c>
      <c r="K76" s="2">
        <v>87764.800000000003</v>
      </c>
      <c r="L76" s="2">
        <v>1020.2</v>
      </c>
      <c r="M76" s="2">
        <v>17.899999999999999</v>
      </c>
      <c r="N76" s="2"/>
      <c r="O76" s="2">
        <f t="shared" si="2"/>
        <v>1.4610500000000002E-2</v>
      </c>
      <c r="P76" s="2">
        <f t="shared" si="3"/>
        <v>1.2257718355900282E-3</v>
      </c>
    </row>
    <row r="77" spans="1:16">
      <c r="A77" s="2">
        <v>70</v>
      </c>
      <c r="B77" s="2">
        <v>1.9782000000000001E-2</v>
      </c>
      <c r="C77" s="2">
        <v>1.9588000000000001E-2</v>
      </c>
      <c r="D77" s="2">
        <v>80012</v>
      </c>
      <c r="E77" s="2">
        <v>1567.3</v>
      </c>
      <c r="F77" s="2">
        <v>14.97</v>
      </c>
      <c r="G77" s="2"/>
      <c r="H77" s="2">
        <v>70</v>
      </c>
      <c r="I77" s="2">
        <v>1.2803999999999999E-2</v>
      </c>
      <c r="J77" s="2">
        <v>1.2723E-2</v>
      </c>
      <c r="K77" s="2">
        <v>86744.6</v>
      </c>
      <c r="L77" s="2">
        <v>1103.5999999999999</v>
      </c>
      <c r="M77" s="2">
        <v>17.100000000000001</v>
      </c>
      <c r="N77" s="2"/>
      <c r="O77" s="2">
        <f t="shared" si="2"/>
        <v>1.61555E-2</v>
      </c>
      <c r="P77" s="2">
        <f t="shared" si="3"/>
        <v>1.3563645444001349E-3</v>
      </c>
    </row>
    <row r="78" spans="1:16">
      <c r="A78" s="2">
        <v>71</v>
      </c>
      <c r="B78" s="2">
        <v>2.1749000000000001E-2</v>
      </c>
      <c r="C78" s="2">
        <v>2.1514999999999999E-2</v>
      </c>
      <c r="D78" s="2">
        <v>78444.7</v>
      </c>
      <c r="E78" s="2">
        <v>1687.7</v>
      </c>
      <c r="F78" s="2">
        <v>14.26</v>
      </c>
      <c r="G78" s="2"/>
      <c r="H78" s="2">
        <v>71</v>
      </c>
      <c r="I78" s="2">
        <v>1.3925E-2</v>
      </c>
      <c r="J78" s="2">
        <v>1.3828999999999999E-2</v>
      </c>
      <c r="K78" s="2">
        <v>85641</v>
      </c>
      <c r="L78" s="2">
        <v>1184.3</v>
      </c>
      <c r="M78" s="2">
        <v>16.309999999999999</v>
      </c>
      <c r="N78" s="2"/>
      <c r="O78" s="2">
        <f t="shared" si="2"/>
        <v>1.7672E-2</v>
      </c>
      <c r="P78" s="2">
        <f t="shared" si="3"/>
        <v>1.4847312091894604E-3</v>
      </c>
    </row>
    <row r="79" spans="1:16">
      <c r="A79" s="2">
        <v>72</v>
      </c>
      <c r="B79" s="2">
        <v>2.3880999999999999E-2</v>
      </c>
      <c r="C79" s="2">
        <v>2.3598999999999998E-2</v>
      </c>
      <c r="D79" s="2">
        <v>76757</v>
      </c>
      <c r="E79" s="2">
        <v>1811.4</v>
      </c>
      <c r="F79" s="2">
        <v>13.57</v>
      </c>
      <c r="G79" s="2"/>
      <c r="H79" s="2">
        <v>72</v>
      </c>
      <c r="I79" s="2">
        <v>1.5606999999999999E-2</v>
      </c>
      <c r="J79" s="2">
        <v>1.5486E-2</v>
      </c>
      <c r="K79" s="2">
        <v>84456.7</v>
      </c>
      <c r="L79" s="2">
        <v>1307.9000000000001</v>
      </c>
      <c r="M79" s="2">
        <v>15.54</v>
      </c>
      <c r="N79" s="2"/>
      <c r="O79" s="2">
        <f t="shared" si="2"/>
        <v>1.9542499999999997E-2</v>
      </c>
      <c r="P79" s="2">
        <f t="shared" si="3"/>
        <v>1.643313239494959E-3</v>
      </c>
    </row>
    <row r="80" spans="1:16">
      <c r="A80" s="2">
        <v>73</v>
      </c>
      <c r="B80" s="2">
        <v>2.5773999999999998E-2</v>
      </c>
      <c r="C80" s="2">
        <v>2.5446E-2</v>
      </c>
      <c r="D80" s="2">
        <v>74945.600000000006</v>
      </c>
      <c r="E80" s="2">
        <v>1907.1</v>
      </c>
      <c r="F80" s="2">
        <v>12.88</v>
      </c>
      <c r="G80" s="2"/>
      <c r="H80" s="2">
        <v>73</v>
      </c>
      <c r="I80" s="2">
        <v>1.7146000000000002E-2</v>
      </c>
      <c r="J80" s="2">
        <v>1.7000000000000001E-2</v>
      </c>
      <c r="K80" s="2">
        <v>83148.800000000003</v>
      </c>
      <c r="L80" s="2">
        <v>1413.6</v>
      </c>
      <c r="M80" s="2">
        <v>14.77</v>
      </c>
      <c r="N80" s="2"/>
      <c r="O80" s="2">
        <f t="shared" si="2"/>
        <v>2.1222999999999999E-2</v>
      </c>
      <c r="P80" s="2">
        <f t="shared" si="3"/>
        <v>1.7860236457136747E-3</v>
      </c>
    </row>
    <row r="81" spans="1:16">
      <c r="A81" s="2">
        <v>74</v>
      </c>
      <c r="B81" s="2">
        <v>2.8145E-2</v>
      </c>
      <c r="C81" s="2">
        <v>2.7754999999999998E-2</v>
      </c>
      <c r="D81" s="2">
        <v>73038.5</v>
      </c>
      <c r="E81" s="2">
        <v>2027.2</v>
      </c>
      <c r="F81" s="2">
        <v>12.2</v>
      </c>
      <c r="G81" s="2"/>
      <c r="H81" s="2">
        <v>74</v>
      </c>
      <c r="I81" s="2">
        <v>1.8908999999999999E-2</v>
      </c>
      <c r="J81" s="2">
        <v>1.8731999999999999E-2</v>
      </c>
      <c r="K81" s="2">
        <v>81735.199999999997</v>
      </c>
      <c r="L81" s="2">
        <v>1531.1</v>
      </c>
      <c r="M81" s="2">
        <v>14.02</v>
      </c>
      <c r="N81" s="2"/>
      <c r="O81" s="2">
        <f t="shared" si="2"/>
        <v>2.32435E-2</v>
      </c>
      <c r="P81" s="2">
        <f t="shared" si="3"/>
        <v>1.9579049940989801E-3</v>
      </c>
    </row>
    <row r="82" spans="1:16">
      <c r="A82" s="2">
        <v>75</v>
      </c>
      <c r="B82" s="2">
        <v>3.0727999999999998E-2</v>
      </c>
      <c r="C82" s="2">
        <v>3.0263000000000002E-2</v>
      </c>
      <c r="D82" s="2">
        <v>71011.399999999994</v>
      </c>
      <c r="E82" s="2">
        <v>2149</v>
      </c>
      <c r="F82" s="2">
        <v>11.54</v>
      </c>
      <c r="G82" s="2"/>
      <c r="H82" s="2">
        <v>75</v>
      </c>
      <c r="I82" s="2">
        <v>2.1218000000000001E-2</v>
      </c>
      <c r="J82" s="2">
        <v>2.0996000000000001E-2</v>
      </c>
      <c r="K82" s="2">
        <v>80204.100000000006</v>
      </c>
      <c r="L82" s="2">
        <v>1683.9</v>
      </c>
      <c r="M82" s="2">
        <v>13.28</v>
      </c>
      <c r="N82" s="2"/>
      <c r="O82" s="2">
        <f t="shared" si="2"/>
        <v>2.56295E-2</v>
      </c>
      <c r="P82" s="2">
        <f t="shared" si="3"/>
        <v>2.1612991493864531E-3</v>
      </c>
    </row>
    <row r="83" spans="1:16">
      <c r="A83" s="2">
        <v>76</v>
      </c>
      <c r="B83" s="2">
        <v>3.4326000000000002E-2</v>
      </c>
      <c r="C83" s="2">
        <v>3.3746999999999999E-2</v>
      </c>
      <c r="D83" s="2">
        <v>68862.3</v>
      </c>
      <c r="E83" s="2">
        <v>2323.9</v>
      </c>
      <c r="F83" s="2">
        <v>10.88</v>
      </c>
      <c r="G83" s="2"/>
      <c r="H83" s="2">
        <v>76</v>
      </c>
      <c r="I83" s="2">
        <v>2.3442999999999999E-2</v>
      </c>
      <c r="J83" s="2">
        <v>2.3171000000000001E-2</v>
      </c>
      <c r="K83" s="2">
        <v>78520.2</v>
      </c>
      <c r="L83" s="2">
        <v>1819.4</v>
      </c>
      <c r="M83" s="2">
        <v>12.55</v>
      </c>
      <c r="N83" s="2"/>
      <c r="O83" s="2">
        <f t="shared" si="2"/>
        <v>2.8458999999999998E-2</v>
      </c>
      <c r="P83" s="2">
        <f t="shared" si="3"/>
        <v>2.4030919633175607E-3</v>
      </c>
    </row>
    <row r="84" spans="1:16">
      <c r="A84" s="2">
        <v>77</v>
      </c>
      <c r="B84" s="2">
        <v>3.7859999999999998E-2</v>
      </c>
      <c r="C84" s="2">
        <v>3.7157000000000003E-2</v>
      </c>
      <c r="D84" s="2">
        <v>66538.399999999994</v>
      </c>
      <c r="E84" s="2">
        <v>2472.3000000000002</v>
      </c>
      <c r="F84" s="2">
        <v>10.25</v>
      </c>
      <c r="G84" s="2"/>
      <c r="H84" s="2">
        <v>77</v>
      </c>
      <c r="I84" s="2">
        <v>2.6485000000000002E-2</v>
      </c>
      <c r="J84" s="2">
        <v>2.6138999999999999E-2</v>
      </c>
      <c r="K84" s="2">
        <v>76700.800000000003</v>
      </c>
      <c r="L84" s="2">
        <v>2004.9</v>
      </c>
      <c r="M84" s="2">
        <v>11.84</v>
      </c>
      <c r="N84" s="2"/>
      <c r="O84" s="2">
        <f t="shared" si="2"/>
        <v>3.1648000000000003E-2</v>
      </c>
      <c r="P84" s="2">
        <f t="shared" si="3"/>
        <v>2.6763805438883015E-3</v>
      </c>
    </row>
    <row r="85" spans="1:16">
      <c r="A85" s="2">
        <v>78</v>
      </c>
      <c r="B85" s="2">
        <v>4.3278999999999998E-2</v>
      </c>
      <c r="C85" s="2">
        <v>4.2361999999999997E-2</v>
      </c>
      <c r="D85" s="2">
        <v>64066.1</v>
      </c>
      <c r="E85" s="2">
        <v>2714</v>
      </c>
      <c r="F85" s="2">
        <v>9.6199999999999992</v>
      </c>
      <c r="G85" s="2"/>
      <c r="H85" s="2">
        <v>78</v>
      </c>
      <c r="I85" s="2">
        <v>3.0291999999999999E-2</v>
      </c>
      <c r="J85" s="2">
        <v>2.9839999999999998E-2</v>
      </c>
      <c r="K85" s="2">
        <v>74695.899999999994</v>
      </c>
      <c r="L85" s="2">
        <v>2228.9</v>
      </c>
      <c r="M85" s="2">
        <v>11.14</v>
      </c>
      <c r="N85" s="2"/>
      <c r="O85" s="2">
        <f t="shared" si="2"/>
        <v>3.6100999999999994E-2</v>
      </c>
      <c r="P85" s="2">
        <f t="shared" si="3"/>
        <v>3.0593740187374596E-3</v>
      </c>
    </row>
    <row r="86" spans="1:16">
      <c r="A86" s="2">
        <v>79</v>
      </c>
      <c r="B86" s="2">
        <v>4.8021000000000001E-2</v>
      </c>
      <c r="C86" s="2">
        <v>4.6894999999999999E-2</v>
      </c>
      <c r="D86" s="2">
        <v>61352.1</v>
      </c>
      <c r="E86" s="2">
        <v>2877.1</v>
      </c>
      <c r="F86" s="2">
        <v>9.02</v>
      </c>
      <c r="G86" s="2"/>
      <c r="H86" s="2">
        <v>79</v>
      </c>
      <c r="I86" s="2">
        <v>3.4013000000000002E-2</v>
      </c>
      <c r="J86" s="2">
        <v>3.3444000000000002E-2</v>
      </c>
      <c r="K86" s="2">
        <v>72467</v>
      </c>
      <c r="L86" s="2">
        <v>2423.6</v>
      </c>
      <c r="M86" s="2">
        <v>10.47</v>
      </c>
      <c r="N86" s="2"/>
      <c r="O86" s="2">
        <f t="shared" si="2"/>
        <v>4.0169499999999997E-2</v>
      </c>
      <c r="P86" s="2">
        <f t="shared" si="3"/>
        <v>3.4107179593899639E-3</v>
      </c>
    </row>
    <row r="87" spans="1:16">
      <c r="A87" s="2">
        <v>80</v>
      </c>
      <c r="B87" s="2">
        <v>5.4040999999999999E-2</v>
      </c>
      <c r="C87" s="2">
        <v>5.262E-2</v>
      </c>
      <c r="D87" s="2">
        <v>58475</v>
      </c>
      <c r="E87" s="2">
        <v>3076.9</v>
      </c>
      <c r="F87" s="2">
        <v>8.44</v>
      </c>
      <c r="G87" s="2"/>
      <c r="H87" s="2">
        <v>80</v>
      </c>
      <c r="I87" s="2">
        <v>3.8627000000000002E-2</v>
      </c>
      <c r="J87" s="2">
        <v>3.7894999999999998E-2</v>
      </c>
      <c r="K87" s="2">
        <v>70043.399999999994</v>
      </c>
      <c r="L87" s="2">
        <v>2654.3</v>
      </c>
      <c r="M87" s="2">
        <v>9.81</v>
      </c>
      <c r="N87" s="2"/>
      <c r="O87" s="2">
        <f t="shared" si="2"/>
        <v>4.5257499999999999E-2</v>
      </c>
      <c r="P87" s="2">
        <f t="shared" si="3"/>
        <v>3.8520291919468264E-3</v>
      </c>
    </row>
    <row r="88" spans="1:16">
      <c r="A88" s="2">
        <v>81</v>
      </c>
      <c r="B88" s="2">
        <v>6.1386999999999997E-2</v>
      </c>
      <c r="C88" s="2">
        <v>5.9559000000000001E-2</v>
      </c>
      <c r="D88" s="2">
        <v>55398.1</v>
      </c>
      <c r="E88" s="2">
        <v>3299.5</v>
      </c>
      <c r="F88" s="2">
        <v>7.89</v>
      </c>
      <c r="G88" s="2"/>
      <c r="H88" s="2">
        <v>81</v>
      </c>
      <c r="I88" s="2">
        <v>4.4469000000000002E-2</v>
      </c>
      <c r="J88" s="2">
        <v>4.3501999999999999E-2</v>
      </c>
      <c r="K88" s="2">
        <v>67389.100000000006</v>
      </c>
      <c r="L88" s="2">
        <v>2931.6</v>
      </c>
      <c r="M88" s="2">
        <v>9.18</v>
      </c>
      <c r="N88" s="2"/>
      <c r="O88" s="2">
        <f t="shared" si="2"/>
        <v>5.15305E-2</v>
      </c>
      <c r="P88" s="2">
        <f t="shared" si="3"/>
        <v>4.3990993379783294E-3</v>
      </c>
    </row>
    <row r="89" spans="1:16">
      <c r="A89" s="2">
        <v>82</v>
      </c>
      <c r="B89" s="2">
        <v>7.0319000000000007E-2</v>
      </c>
      <c r="C89" s="2">
        <v>6.7930000000000004E-2</v>
      </c>
      <c r="D89" s="2">
        <v>52098.6</v>
      </c>
      <c r="E89" s="2">
        <v>3539.1</v>
      </c>
      <c r="F89" s="2">
        <v>7.35</v>
      </c>
      <c r="G89" s="2"/>
      <c r="H89" s="2">
        <v>82</v>
      </c>
      <c r="I89" s="2">
        <v>5.0569999999999997E-2</v>
      </c>
      <c r="J89" s="2">
        <v>4.9322999999999999E-2</v>
      </c>
      <c r="K89" s="2">
        <v>64457.599999999999</v>
      </c>
      <c r="L89" s="2">
        <v>3179.3</v>
      </c>
      <c r="M89" s="2">
        <v>8.58</v>
      </c>
      <c r="N89" s="2"/>
      <c r="O89" s="2">
        <f t="shared" si="2"/>
        <v>5.8626499999999998E-2</v>
      </c>
      <c r="P89" s="2">
        <f t="shared" si="3"/>
        <v>5.0219559329856001E-3</v>
      </c>
    </row>
    <row r="90" spans="1:16">
      <c r="A90" s="2">
        <v>83</v>
      </c>
      <c r="B90" s="2">
        <v>7.8134999999999996E-2</v>
      </c>
      <c r="C90" s="2">
        <v>7.5197E-2</v>
      </c>
      <c r="D90" s="2">
        <v>48559.6</v>
      </c>
      <c r="E90" s="2">
        <v>3651.5</v>
      </c>
      <c r="F90" s="2">
        <v>6.85</v>
      </c>
      <c r="G90" s="2"/>
      <c r="H90" s="2">
        <v>83</v>
      </c>
      <c r="I90" s="2">
        <v>5.7596000000000001E-2</v>
      </c>
      <c r="J90" s="2">
        <v>5.5983999999999999E-2</v>
      </c>
      <c r="K90" s="2">
        <v>61278.3</v>
      </c>
      <c r="L90" s="2">
        <v>3430.6</v>
      </c>
      <c r="M90" s="2">
        <v>7.99</v>
      </c>
      <c r="N90" s="2"/>
      <c r="O90" s="2">
        <f t="shared" si="2"/>
        <v>6.5590499999999996E-2</v>
      </c>
      <c r="P90" s="2">
        <f t="shared" si="3"/>
        <v>5.6374247479431538E-3</v>
      </c>
    </row>
    <row r="91" spans="1:16">
      <c r="A91" s="2">
        <v>84</v>
      </c>
      <c r="B91" s="2">
        <v>8.7750999999999996E-2</v>
      </c>
      <c r="C91" s="2">
        <v>8.4062999999999999E-2</v>
      </c>
      <c r="D91" s="2">
        <v>44908</v>
      </c>
      <c r="E91" s="2">
        <v>3775.1</v>
      </c>
      <c r="F91" s="2">
        <v>6.37</v>
      </c>
      <c r="G91" s="2"/>
      <c r="H91" s="2">
        <v>84</v>
      </c>
      <c r="I91" s="2">
        <v>6.5059000000000006E-2</v>
      </c>
      <c r="J91" s="2">
        <v>6.3009999999999997E-2</v>
      </c>
      <c r="K91" s="2">
        <v>57847.7</v>
      </c>
      <c r="L91" s="2">
        <v>3645</v>
      </c>
      <c r="M91" s="2">
        <v>7.44</v>
      </c>
      <c r="N91" s="2"/>
      <c r="O91" s="2">
        <f t="shared" si="2"/>
        <v>7.3536500000000005E-2</v>
      </c>
      <c r="P91" s="2">
        <f t="shared" si="3"/>
        <v>6.3448384313740114E-3</v>
      </c>
    </row>
    <row r="92" spans="1:16">
      <c r="A92" s="2">
        <v>85</v>
      </c>
      <c r="B92" s="2">
        <v>9.8341999999999999E-2</v>
      </c>
      <c r="C92" s="2">
        <v>9.3732999999999997E-2</v>
      </c>
      <c r="D92" s="2">
        <v>41132.9</v>
      </c>
      <c r="E92" s="2">
        <v>3855.5</v>
      </c>
      <c r="F92" s="2">
        <v>5.91</v>
      </c>
      <c r="G92" s="2"/>
      <c r="H92" s="2">
        <v>85</v>
      </c>
      <c r="I92" s="2">
        <v>7.3223999999999997E-2</v>
      </c>
      <c r="J92" s="2">
        <v>7.0637000000000005E-2</v>
      </c>
      <c r="K92" s="2">
        <v>54202.8</v>
      </c>
      <c r="L92" s="2">
        <v>3828.7</v>
      </c>
      <c r="M92" s="2">
        <v>6.91</v>
      </c>
      <c r="N92" s="2"/>
      <c r="O92" s="2">
        <f t="shared" si="2"/>
        <v>8.2185000000000008E-2</v>
      </c>
      <c r="P92" s="2">
        <f t="shared" si="3"/>
        <v>7.1211431181837925E-3</v>
      </c>
    </row>
    <row r="93" spans="1:16">
      <c r="A93" s="2">
        <v>86</v>
      </c>
      <c r="B93" s="2">
        <v>0.111094</v>
      </c>
      <c r="C93" s="2">
        <v>0.10524799999999999</v>
      </c>
      <c r="D93" s="2">
        <v>37277.4</v>
      </c>
      <c r="E93" s="2">
        <v>3923.4</v>
      </c>
      <c r="F93" s="2">
        <v>5.47</v>
      </c>
      <c r="G93" s="2"/>
      <c r="H93" s="2">
        <v>86</v>
      </c>
      <c r="I93" s="2">
        <v>8.3910999999999999E-2</v>
      </c>
      <c r="J93" s="2">
        <v>8.0532999999999993E-2</v>
      </c>
      <c r="K93" s="2">
        <v>50374</v>
      </c>
      <c r="L93" s="2">
        <v>4056.8</v>
      </c>
      <c r="M93" s="2">
        <v>6.39</v>
      </c>
      <c r="N93" s="2"/>
      <c r="O93" s="2">
        <f t="shared" si="2"/>
        <v>9.2890499999999987E-2</v>
      </c>
      <c r="P93" s="2">
        <f t="shared" si="3"/>
        <v>8.0914290970839353E-3</v>
      </c>
    </row>
    <row r="94" spans="1:16">
      <c r="A94" s="2">
        <v>87</v>
      </c>
      <c r="B94" s="2">
        <v>0.12529899999999999</v>
      </c>
      <c r="C94" s="2">
        <v>0.117912</v>
      </c>
      <c r="D94" s="2">
        <v>33354</v>
      </c>
      <c r="E94" s="2">
        <v>3932.8</v>
      </c>
      <c r="F94" s="2">
        <v>5.05</v>
      </c>
      <c r="G94" s="2"/>
      <c r="H94" s="2">
        <v>87</v>
      </c>
      <c r="I94" s="2">
        <v>9.5207E-2</v>
      </c>
      <c r="J94" s="2">
        <v>9.0881000000000003E-2</v>
      </c>
      <c r="K94" s="2">
        <v>46317.3</v>
      </c>
      <c r="L94" s="2">
        <v>4209.3999999999996</v>
      </c>
      <c r="M94" s="2">
        <v>5.91</v>
      </c>
      <c r="N94" s="2"/>
      <c r="O94" s="2">
        <f t="shared" si="2"/>
        <v>0.1043965</v>
      </c>
      <c r="P94" s="2">
        <f t="shared" si="3"/>
        <v>9.1460420288518307E-3</v>
      </c>
    </row>
    <row r="95" spans="1:16">
      <c r="A95" s="2">
        <v>88</v>
      </c>
      <c r="B95" s="2">
        <v>0.142628</v>
      </c>
      <c r="C95" s="2">
        <v>0.133134</v>
      </c>
      <c r="D95" s="2">
        <v>29421.200000000001</v>
      </c>
      <c r="E95" s="2">
        <v>3917</v>
      </c>
      <c r="F95" s="2">
        <v>4.66</v>
      </c>
      <c r="G95" s="2"/>
      <c r="H95" s="2">
        <v>88</v>
      </c>
      <c r="I95" s="2">
        <v>0.108806</v>
      </c>
      <c r="J95" s="2">
        <v>0.10319200000000001</v>
      </c>
      <c r="K95" s="2">
        <v>42107.9</v>
      </c>
      <c r="L95" s="2">
        <v>4345.2</v>
      </c>
      <c r="M95" s="2">
        <v>5.45</v>
      </c>
      <c r="N95" s="2"/>
      <c r="O95" s="2">
        <f t="shared" si="2"/>
        <v>0.118163</v>
      </c>
      <c r="P95" s="2">
        <f t="shared" si="3"/>
        <v>1.0424290461765739E-2</v>
      </c>
    </row>
    <row r="96" spans="1:16">
      <c r="A96" s="2">
        <v>89</v>
      </c>
      <c r="B96" s="2">
        <v>0.16131599999999999</v>
      </c>
      <c r="C96" s="2">
        <v>0.14927599999999999</v>
      </c>
      <c r="D96" s="2">
        <v>25504.3</v>
      </c>
      <c r="E96" s="2">
        <v>3807.2</v>
      </c>
      <c r="F96" s="2">
        <v>4.3</v>
      </c>
      <c r="G96" s="2"/>
      <c r="H96" s="2">
        <v>89</v>
      </c>
      <c r="I96" s="2">
        <v>0.123875</v>
      </c>
      <c r="J96" s="2">
        <v>0.11665</v>
      </c>
      <c r="K96" s="2">
        <v>37762.699999999997</v>
      </c>
      <c r="L96" s="2">
        <v>4405</v>
      </c>
      <c r="M96" s="2">
        <v>5.0199999999999996</v>
      </c>
      <c r="N96" s="2"/>
      <c r="O96" s="2">
        <f t="shared" si="2"/>
        <v>0.132963</v>
      </c>
      <c r="P96" s="2">
        <f t="shared" si="3"/>
        <v>1.1819068483294393E-2</v>
      </c>
    </row>
    <row r="97" spans="1:16">
      <c r="A97" s="2">
        <v>90</v>
      </c>
      <c r="B97" s="2">
        <v>0.18143799999999999</v>
      </c>
      <c r="C97" s="2">
        <v>0.16634699999999999</v>
      </c>
      <c r="D97" s="2">
        <v>21697.1</v>
      </c>
      <c r="E97" s="2">
        <v>3609.2</v>
      </c>
      <c r="F97" s="2">
        <v>3.97</v>
      </c>
      <c r="G97" s="2"/>
      <c r="H97" s="2">
        <v>90</v>
      </c>
      <c r="I97" s="2">
        <v>0.14386099999999999</v>
      </c>
      <c r="J97" s="2">
        <v>0.13420799999999999</v>
      </c>
      <c r="K97" s="2">
        <v>33357.699999999997</v>
      </c>
      <c r="L97" s="2">
        <v>4476.8999999999996</v>
      </c>
      <c r="M97" s="2">
        <v>4.62</v>
      </c>
      <c r="N97" s="2"/>
      <c r="O97" s="2">
        <f t="shared" si="2"/>
        <v>0.15027750000000001</v>
      </c>
      <c r="P97" s="2">
        <f t="shared" si="3"/>
        <v>1.3478790939090768E-2</v>
      </c>
    </row>
    <row r="98" spans="1:16">
      <c r="A98" s="2">
        <v>91</v>
      </c>
      <c r="B98" s="2">
        <v>0.202406</v>
      </c>
      <c r="C98" s="2">
        <v>0.183805</v>
      </c>
      <c r="D98" s="2">
        <v>18087.8</v>
      </c>
      <c r="E98" s="2">
        <v>3324.6</v>
      </c>
      <c r="F98" s="2">
        <v>3.66</v>
      </c>
      <c r="G98" s="2"/>
      <c r="H98" s="2">
        <v>91</v>
      </c>
      <c r="I98" s="2">
        <v>0.16481199999999999</v>
      </c>
      <c r="J98" s="2">
        <v>0.15226400000000001</v>
      </c>
      <c r="K98" s="2">
        <v>28880.799999999999</v>
      </c>
      <c r="L98" s="2">
        <v>4397.5</v>
      </c>
      <c r="M98" s="2">
        <v>4.25</v>
      </c>
      <c r="N98" s="2"/>
      <c r="O98" s="2">
        <f t="shared" si="2"/>
        <v>0.1680345</v>
      </c>
      <c r="P98" s="2">
        <f t="shared" si="3"/>
        <v>1.521344702590488E-2</v>
      </c>
    </row>
    <row r="99" spans="1:16">
      <c r="A99" s="2">
        <v>92</v>
      </c>
      <c r="B99" s="2">
        <v>0.22932900000000001</v>
      </c>
      <c r="C99" s="2">
        <v>0.205738</v>
      </c>
      <c r="D99" s="2">
        <v>14763.2</v>
      </c>
      <c r="E99" s="2">
        <v>3037.4</v>
      </c>
      <c r="F99" s="2">
        <v>3.37</v>
      </c>
      <c r="G99" s="2"/>
      <c r="H99" s="2">
        <v>92</v>
      </c>
      <c r="I99" s="2">
        <v>0.18548400000000001</v>
      </c>
      <c r="J99" s="2">
        <v>0.169742</v>
      </c>
      <c r="K99" s="2">
        <v>24483.3</v>
      </c>
      <c r="L99" s="2">
        <v>4155.8</v>
      </c>
      <c r="M99" s="2">
        <v>3.93</v>
      </c>
      <c r="N99" s="2"/>
      <c r="O99" s="2">
        <f t="shared" si="2"/>
        <v>0.18774000000000002</v>
      </c>
      <c r="P99" s="2">
        <f t="shared" si="3"/>
        <v>1.7178634761037537E-2</v>
      </c>
    </row>
    <row r="100" spans="1:16">
      <c r="A100" s="2">
        <v>93</v>
      </c>
      <c r="B100" s="2">
        <v>0.25418800000000003</v>
      </c>
      <c r="C100" s="2">
        <v>0.225525</v>
      </c>
      <c r="D100" s="2">
        <v>11725.9</v>
      </c>
      <c r="E100" s="2">
        <v>2644.5</v>
      </c>
      <c r="F100" s="2">
        <v>3.11</v>
      </c>
      <c r="G100" s="2"/>
      <c r="H100" s="2">
        <v>93</v>
      </c>
      <c r="I100" s="2">
        <v>0.20807700000000001</v>
      </c>
      <c r="J100" s="2">
        <v>0.188469</v>
      </c>
      <c r="K100" s="2">
        <v>20327.5</v>
      </c>
      <c r="L100" s="2">
        <v>3831.1</v>
      </c>
      <c r="M100" s="2">
        <v>3.63</v>
      </c>
      <c r="N100" s="2"/>
      <c r="O100" s="2">
        <f t="shared" si="2"/>
        <v>0.20699699999999999</v>
      </c>
      <c r="P100" s="2">
        <f t="shared" si="3"/>
        <v>1.9141780325788282E-2</v>
      </c>
    </row>
    <row r="101" spans="1:16">
      <c r="A101" s="2">
        <v>94</v>
      </c>
      <c r="B101" s="2">
        <v>0.283806</v>
      </c>
      <c r="C101" s="2">
        <v>0.24853800000000001</v>
      </c>
      <c r="D101" s="2">
        <v>9081.4</v>
      </c>
      <c r="E101" s="2">
        <v>2257.1</v>
      </c>
      <c r="F101" s="2">
        <v>2.87</v>
      </c>
      <c r="G101" s="2"/>
      <c r="H101" s="2">
        <v>94</v>
      </c>
      <c r="I101" s="2">
        <v>0.231327</v>
      </c>
      <c r="J101" s="2">
        <v>0.207345</v>
      </c>
      <c r="K101" s="2">
        <v>16496.400000000001</v>
      </c>
      <c r="L101" s="2">
        <v>3420.4</v>
      </c>
      <c r="M101" s="2">
        <v>3.36</v>
      </c>
      <c r="N101" s="2"/>
      <c r="O101" s="2">
        <f t="shared" si="2"/>
        <v>0.22794150000000002</v>
      </c>
      <c r="P101" s="2">
        <f t="shared" si="3"/>
        <v>2.1327201937785922E-2</v>
      </c>
    </row>
    <row r="102" spans="1:16">
      <c r="A102" s="2">
        <v>95</v>
      </c>
      <c r="B102" s="2">
        <v>0.314251</v>
      </c>
      <c r="C102" s="2">
        <v>0.27157900000000001</v>
      </c>
      <c r="D102" s="2">
        <v>6824.3</v>
      </c>
      <c r="E102" s="2">
        <v>1853.3</v>
      </c>
      <c r="F102" s="2">
        <v>2.66</v>
      </c>
      <c r="G102" s="2"/>
      <c r="H102" s="2">
        <v>95</v>
      </c>
      <c r="I102" s="2">
        <v>0.255915</v>
      </c>
      <c r="J102" s="2">
        <v>0.226884</v>
      </c>
      <c r="K102" s="2">
        <v>13075.9</v>
      </c>
      <c r="L102" s="2">
        <v>2966.7</v>
      </c>
      <c r="M102" s="2">
        <v>3.1</v>
      </c>
      <c r="N102" s="2"/>
      <c r="O102" s="2">
        <f t="shared" si="2"/>
        <v>0.24923149999999999</v>
      </c>
      <c r="P102" s="2">
        <f t="shared" si="3"/>
        <v>2.3605097188321267E-2</v>
      </c>
    </row>
    <row r="103" spans="1:16">
      <c r="A103" s="2">
        <v>96</v>
      </c>
      <c r="B103" s="2">
        <v>0.34378500000000001</v>
      </c>
      <c r="C103" s="2">
        <v>0.29335899999999998</v>
      </c>
      <c r="D103" s="2">
        <v>4971</v>
      </c>
      <c r="E103" s="2">
        <v>1458.3</v>
      </c>
      <c r="F103" s="2">
        <v>2.46</v>
      </c>
      <c r="G103" s="2"/>
      <c r="H103" s="2">
        <v>96</v>
      </c>
      <c r="I103" s="2">
        <v>0.28466999999999998</v>
      </c>
      <c r="J103" s="2">
        <v>0.2492</v>
      </c>
      <c r="K103" s="2">
        <v>10109.200000000001</v>
      </c>
      <c r="L103" s="2">
        <v>2519.1999999999998</v>
      </c>
      <c r="M103" s="2">
        <v>2.87</v>
      </c>
      <c r="N103" s="2"/>
      <c r="O103" s="2">
        <f t="shared" si="2"/>
        <v>0.27127950000000001</v>
      </c>
      <c r="P103" s="2">
        <f t="shared" si="3"/>
        <v>2.6027378620132491E-2</v>
      </c>
    </row>
    <row r="104" spans="1:16">
      <c r="A104" s="2">
        <v>97</v>
      </c>
      <c r="B104" s="2">
        <v>0.38368200000000002</v>
      </c>
      <c r="C104" s="2">
        <v>0.32192399999999999</v>
      </c>
      <c r="D104" s="2">
        <v>3512.7</v>
      </c>
      <c r="E104" s="2">
        <v>1130.8</v>
      </c>
      <c r="F104" s="2">
        <v>2.27</v>
      </c>
      <c r="G104" s="2"/>
      <c r="H104" s="2">
        <v>97</v>
      </c>
      <c r="I104" s="2">
        <v>0.31458799999999998</v>
      </c>
      <c r="J104" s="2">
        <v>0.27183099999999999</v>
      </c>
      <c r="K104" s="2">
        <v>7590</v>
      </c>
      <c r="L104" s="2">
        <v>2063.1999999999998</v>
      </c>
      <c r="M104" s="2">
        <v>2.65</v>
      </c>
      <c r="N104" s="2"/>
      <c r="O104" s="2">
        <f t="shared" si="2"/>
        <v>0.29687750000000002</v>
      </c>
      <c r="P104" s="2">
        <f t="shared" si="3"/>
        <v>2.8925426024502432E-2</v>
      </c>
    </row>
    <row r="105" spans="1:16">
      <c r="A105" s="2">
        <v>98</v>
      </c>
      <c r="B105" s="2">
        <v>0.41168900000000003</v>
      </c>
      <c r="C105" s="2">
        <v>0.34141100000000002</v>
      </c>
      <c r="D105" s="2">
        <v>2381.9</v>
      </c>
      <c r="E105" s="2">
        <v>813.2</v>
      </c>
      <c r="F105" s="2">
        <v>2.12</v>
      </c>
      <c r="G105" s="2"/>
      <c r="H105" s="2">
        <v>98</v>
      </c>
      <c r="I105" s="2">
        <v>0.35086699999999998</v>
      </c>
      <c r="J105" s="2">
        <v>0.29849999999999999</v>
      </c>
      <c r="K105" s="2">
        <v>5526.8</v>
      </c>
      <c r="L105" s="2">
        <v>1649.8</v>
      </c>
      <c r="M105" s="2">
        <v>2.46</v>
      </c>
      <c r="N105" s="2"/>
      <c r="O105" s="2">
        <f t="shared" si="2"/>
        <v>0.3199555</v>
      </c>
      <c r="P105" s="2">
        <f t="shared" si="3"/>
        <v>3.1622304800088763E-2</v>
      </c>
    </row>
    <row r="106" spans="1:16">
      <c r="A106" s="2">
        <v>99</v>
      </c>
      <c r="B106" s="2">
        <v>0.447216</v>
      </c>
      <c r="C106" s="2">
        <v>0.36548999999999998</v>
      </c>
      <c r="D106" s="2">
        <v>1568.7</v>
      </c>
      <c r="E106" s="2">
        <v>573.29999999999995</v>
      </c>
      <c r="F106" s="2">
        <v>1.95</v>
      </c>
      <c r="G106" s="2"/>
      <c r="H106" s="2">
        <v>99</v>
      </c>
      <c r="I106" s="2">
        <v>0.37542999999999999</v>
      </c>
      <c r="J106" s="2">
        <v>0.31609399999999999</v>
      </c>
      <c r="K106" s="2">
        <v>3877.1</v>
      </c>
      <c r="L106" s="2">
        <v>1225.5</v>
      </c>
      <c r="M106" s="2">
        <v>2.29</v>
      </c>
      <c r="N106" s="2"/>
      <c r="O106" s="2">
        <f t="shared" si="2"/>
        <v>0.34079199999999998</v>
      </c>
      <c r="P106" s="2">
        <f t="shared" si="3"/>
        <v>3.4130306808331734E-2</v>
      </c>
    </row>
    <row r="107" spans="1:16">
      <c r="A107" s="2">
        <v>100</v>
      </c>
      <c r="B107" s="2">
        <v>0.50148700000000002</v>
      </c>
      <c r="C107" s="2">
        <v>0.400951</v>
      </c>
      <c r="D107" s="2">
        <v>995.3</v>
      </c>
      <c r="E107" s="2">
        <v>399.1</v>
      </c>
      <c r="F107" s="2">
        <v>1.79</v>
      </c>
      <c r="G107" s="2"/>
      <c r="H107" s="2">
        <v>100</v>
      </c>
      <c r="I107" s="2">
        <v>0.42099900000000001</v>
      </c>
      <c r="J107" s="2">
        <v>0.34778999999999999</v>
      </c>
      <c r="K107" s="2">
        <v>2651.5</v>
      </c>
      <c r="L107" s="2">
        <v>922.2</v>
      </c>
      <c r="M107" s="2">
        <v>2.12</v>
      </c>
      <c r="N107" s="2"/>
      <c r="O107" s="2">
        <f t="shared" si="2"/>
        <v>0.37437049999999999</v>
      </c>
      <c r="P107" s="2">
        <f t="shared" si="3"/>
        <v>3.8329187870684511E-2</v>
      </c>
    </row>
  </sheetData>
  <phoneticPr fontId="1" type="noConversion"/>
  <hyperlinks>
    <hyperlink ref="A4" r:id="rId1" location="DATA_ONS!A1" display="applewebdata://D77135D7-8BF1-4FC4-81DD-468DE879489E/ - DATA_ONS!A1" xr:uid="{D2D368F8-61E8-9844-B40F-A09DC8DC1FA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ED599-BA76-3E44-BB22-B194203B0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95</vt:i4>
      </vt:variant>
    </vt:vector>
  </HeadingPairs>
  <TitlesOfParts>
    <vt:vector size="102" baseType="lpstr">
      <vt:lpstr>Dashboard_Summary</vt:lpstr>
      <vt:lpstr>PSA_Dashboard</vt:lpstr>
      <vt:lpstr>inputs</vt:lpstr>
      <vt:lpstr>RRMM_Model_Inputs</vt:lpstr>
      <vt:lpstr>soc_engine</vt:lpstr>
      <vt:lpstr>trt_engine</vt:lpstr>
      <vt:lpstr>DATA_ONS</vt:lpstr>
      <vt:lpstr>trt_engine!adj_OS_Prob</vt:lpstr>
      <vt:lpstr>adj_OS_Prob</vt:lpstr>
      <vt:lpstr>Age</vt:lpstr>
      <vt:lpstr>asdfasdf</vt:lpstr>
      <vt:lpstr>trt_engine!crrct_dth_risk</vt:lpstr>
      <vt:lpstr>crrct_dth_risk</vt:lpstr>
      <vt:lpstr>Cycle</vt:lpstr>
      <vt:lpstr>cycle_length</vt:lpstr>
      <vt:lpstr>delta_C</vt:lpstr>
      <vt:lpstr>delta_E</vt:lpstr>
      <vt:lpstr>trt_engine!disc_rate_clum</vt:lpstr>
      <vt:lpstr>disc_rate_clum</vt:lpstr>
      <vt:lpstr>Disc_rate_per_cyc</vt:lpstr>
      <vt:lpstr>Discount_rate</vt:lpstr>
      <vt:lpstr>trt_engine!hcc_qal_per_cyc</vt:lpstr>
      <vt:lpstr>hcc_qal_per_cyc</vt:lpstr>
      <vt:lpstr>hr_os_mu</vt:lpstr>
      <vt:lpstr>hr_os_sigma</vt:lpstr>
      <vt:lpstr>hr_os_VtUs</vt:lpstr>
      <vt:lpstr>hr_pfs_mu</vt:lpstr>
      <vt:lpstr>hr_pfs_sigma</vt:lpstr>
      <vt:lpstr>hr_pfs_VtUs</vt:lpstr>
      <vt:lpstr>ICER</vt:lpstr>
      <vt:lpstr>trt_engine!Impl_dth_rsk</vt:lpstr>
      <vt:lpstr>Impl_dth_rsk</vt:lpstr>
      <vt:lpstr>Mntr_Adm_cst</vt:lpstr>
      <vt:lpstr>Mntr_Adm_cst_mu</vt:lpstr>
      <vt:lpstr>Mntr_Adm_cst_sigma</vt:lpstr>
      <vt:lpstr>Mntr_Adm_cst_VtUs</vt:lpstr>
      <vt:lpstr>trt_engine!ons_dth_risk</vt:lpstr>
      <vt:lpstr>ons_dth_risk</vt:lpstr>
      <vt:lpstr>pd_chm_price</vt:lpstr>
      <vt:lpstr>pd_chm_share</vt:lpstr>
      <vt:lpstr>pd_mAb_price</vt:lpstr>
      <vt:lpstr>pd_mAb_share</vt:lpstr>
      <vt:lpstr>pd_ulty_mu</vt:lpstr>
      <vt:lpstr>pd_ulty_sigma</vt:lpstr>
      <vt:lpstr>pd_ulty_VtUs</vt:lpstr>
      <vt:lpstr>pfs_ulty_mu</vt:lpstr>
      <vt:lpstr>pfs_ulty_sigma</vt:lpstr>
      <vt:lpstr>pfs_ulty_VtUs</vt:lpstr>
      <vt:lpstr>psa_hrscl_pfs_VtUs</vt:lpstr>
      <vt:lpstr>PSA_Soc_OSHR_scaler</vt:lpstr>
      <vt:lpstr>PSA_Soc_PFSHR_scaler</vt:lpstr>
      <vt:lpstr>psa_soc_pfshr_sclr</vt:lpstr>
      <vt:lpstr>PSA_SocHRsclr_os_VtUs</vt:lpstr>
      <vt:lpstr>PSA_SocHRsclr_pfs_VtUs</vt:lpstr>
      <vt:lpstr>PSA_Switch</vt:lpstr>
      <vt:lpstr>PSA_trt_OSHR_scaler</vt:lpstr>
      <vt:lpstr>PSA_trt_PFSHR_scaler</vt:lpstr>
      <vt:lpstr>psa_trt_pfshr_sclr</vt:lpstr>
      <vt:lpstr>PSA_trtHRsclr_os_VtUs</vt:lpstr>
      <vt:lpstr>PSA_trtHRsclr_pfs_VtUs</vt:lpstr>
      <vt:lpstr>soc_COST</vt:lpstr>
      <vt:lpstr>soc_dth</vt:lpstr>
      <vt:lpstr>soc_OS_Prob</vt:lpstr>
      <vt:lpstr>soc_pd_cst</vt:lpstr>
      <vt:lpstr>soc_pd_stt</vt:lpstr>
      <vt:lpstr>soc_pfs_cst</vt:lpstr>
      <vt:lpstr>soc_PFS_Prob</vt:lpstr>
      <vt:lpstr>soc_PFS_Prob_psa_adj</vt:lpstr>
      <vt:lpstr>soc_pfs_stt</vt:lpstr>
      <vt:lpstr>soc_price</vt:lpstr>
      <vt:lpstr>soc_prog_risk</vt:lpstr>
      <vt:lpstr>soc_QALY</vt:lpstr>
      <vt:lpstr>soc_stt_PFS</vt:lpstr>
      <vt:lpstr>soc_ttl_cst</vt:lpstr>
      <vt:lpstr>soc_utl</vt:lpstr>
      <vt:lpstr>start_age</vt:lpstr>
      <vt:lpstr>state_dth</vt:lpstr>
      <vt:lpstr>Subsq_PD_cst_mu</vt:lpstr>
      <vt:lpstr>Subsq_PD_cst_sigma</vt:lpstr>
      <vt:lpstr>Subsq_PD_cst_VtUs</vt:lpstr>
      <vt:lpstr>sum_check</vt:lpstr>
      <vt:lpstr>time_horizion</vt:lpstr>
      <vt:lpstr>trt_cap_month</vt:lpstr>
      <vt:lpstr>trt_COST</vt:lpstr>
      <vt:lpstr>trt_dth</vt:lpstr>
      <vt:lpstr>trt_lst_price</vt:lpstr>
      <vt:lpstr>trt_OS_Prob</vt:lpstr>
      <vt:lpstr>trt_OS_Prob_psa_adj</vt:lpstr>
      <vt:lpstr>trt_pas_disc</vt:lpstr>
      <vt:lpstr>trt_pd_cst</vt:lpstr>
      <vt:lpstr>trt_pd_stt</vt:lpstr>
      <vt:lpstr>trt_pfs_cst</vt:lpstr>
      <vt:lpstr>trt_PFS_Prob</vt:lpstr>
      <vt:lpstr>trt_PFS_Prob_psa_adj</vt:lpstr>
      <vt:lpstr>trt_pfs_stt</vt:lpstr>
      <vt:lpstr>trt_prog_risk</vt:lpstr>
      <vt:lpstr>trt_QALY</vt:lpstr>
      <vt:lpstr>trt_ttl_cst</vt:lpstr>
      <vt:lpstr>trt_utl</vt:lpstr>
      <vt:lpstr>Utlty_AE_Disutlt</vt:lpstr>
      <vt:lpstr>Utlty_PD</vt:lpstr>
      <vt:lpstr>Utlty_PFS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Xiaoge ZHANG</dc:creator>
  <cp:lastModifiedBy>Xiaoge ZHANG</cp:lastModifiedBy>
  <dcterms:created xsi:type="dcterms:W3CDTF">2026-04-24T15:03:53Z</dcterms:created>
  <dcterms:modified xsi:type="dcterms:W3CDTF">2026-05-02T11:09:02Z</dcterms:modified>
</cp:coreProperties>
</file>